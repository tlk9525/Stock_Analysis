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tranlekhoa/Documents/DATA_SCI/vn_stock_analysis/outputs/dashboard_metric_dictionary_2026-08-17/"/>
    </mc:Choice>
  </mc:AlternateContent>
  <xr:revisionPtr revIDLastSave="0" documentId="13_ncr:1_{C2D6D9B9-B1E1-814B-B9AD-A9E2B33DDB3F}" xr6:coauthVersionLast="47" xr6:coauthVersionMax="47" xr10:uidLastSave="{00000000-0000-0000-0000-000000000000}"/>
  <bookViews>
    <workbookView xWindow="0" yWindow="660" windowWidth="34200" windowHeight="21480" activeTab="1" xr2:uid="{00000000-000D-0000-FFFF-FFFF00000000}"/>
  </bookViews>
  <sheets>
    <sheet name="Đọc nhanh" sheetId="1" r:id="rId1"/>
    <sheet name="Từ điển chỉ số" sheetId="2" r:id="rId2"/>
    <sheet name="Kỹ thuật" sheetId="3" r:id="rId3"/>
    <sheet name="ML &amp; Backtest" sheetId="4" r:id="rId4"/>
    <sheet name="Rủi ro &amp; Tín hiệu" sheetId="5" r:id="rId5"/>
    <sheet name="Nguồn &amp; phạm vi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1" i="1"/>
  <c r="D20" i="1"/>
  <c r="D19" i="1"/>
  <c r="D18" i="1"/>
  <c r="D17" i="1"/>
  <c r="D16" i="1"/>
  <c r="D15" i="1"/>
</calcChain>
</file>

<file path=xl/sharedStrings.xml><?xml version="1.0" encoding="utf-8"?>
<sst xmlns="http://schemas.openxmlformats.org/spreadsheetml/2006/main" count="669" uniqueCount="540">
  <si>
    <t>VN Stock Analysis — Hướng dẫn đọc Dashboard</t>
  </si>
  <si>
    <t>Workbook giải thích chỉ số thực tế đang được dashboard / artifact của project dùng. Snapshot minh hoạ: EIB, report 2026-08-16_12-35-15; không phải khuyến nghị đầu tư.</t>
  </si>
  <si>
    <t>1. Đọc kết quả theo thứ tự này</t>
  </si>
  <si>
    <t>Bước</t>
  </si>
  <si>
    <t>Xem ở dashboard</t>
  </si>
  <si>
    <t>Câu hỏi cần trả lời</t>
  </si>
  <si>
    <t>Không được suy diễn thành</t>
  </si>
  <si>
    <t>Trạng thái tín hiệu</t>
  </si>
  <si>
    <t>Có đủ điều kiện publish một lệnh hay chưa?</t>
  </si>
  <si>
    <t>Dự báo giá sẽ giảm khi thấy NO_EDGE.</t>
  </si>
  <si>
    <t>Chất lượng dữ liệu</t>
  </si>
  <si>
    <t>Dữ liệu có đủ mới và đã làm sạch?</t>
  </si>
  <si>
    <t>Dữ liệu tốt = mô hình có edge.</t>
  </si>
  <si>
    <t>Kỹ thuật</t>
  </si>
  <si>
    <t>Xu hướng, động lượng, biến động đang ra sao?</t>
  </si>
  <si>
    <t>Một RSI/MACD đơn lẻ là lệnh mua/bán.</t>
  </si>
  <si>
    <t>ML &amp; backtest</t>
  </si>
  <si>
    <t>Out-of-sample sau phí có ổn định và vượt baseline?</t>
  </si>
  <si>
    <t>AUC hoặc accuracy cao = có lợi nhuận.</t>
  </si>
  <si>
    <t>Rủi ro</t>
  </si>
  <si>
    <t>Điểm dừng, reward/risk, thanh khoản có khả thi?</t>
  </si>
  <si>
    <t>Reward/risk đạt = được phép vào lệnh.</t>
  </si>
  <si>
    <t>2. Snapshot EIB — dùng để minh hoạ cách đọc</t>
  </si>
  <si>
    <t>Chỉ số</t>
  </si>
  <si>
    <t>Giá trị</t>
  </si>
  <si>
    <t>Ngưỡng / điều kiện</t>
  </si>
  <si>
    <t>Kết quả</t>
  </si>
  <si>
    <t>Ý nghĩa ngắn</t>
  </si>
  <si>
    <t>Nguồn artifact</t>
  </si>
  <si>
    <t>Trạng thái publish</t>
  </si>
  <si>
    <t>NO_EDGE</t>
  </si>
  <si>
    <t>Tất cả publish gate phải đạt</t>
  </si>
  <si>
    <t>Không có lệnh mới; không hiển thị vị thế.</t>
  </si>
  <si>
    <t>signal_decision.json</t>
  </si>
  <si>
    <t>Dữ liệu mới</t>
  </si>
  <si>
    <t>Số ngày từ dữ liệu mới nhất đến ngày chạy.</t>
  </si>
  <si>
    <t>Technical score</t>
  </si>
  <si>
    <t>Điểm tổng hợp bối cảnh kỹ thuật; đang dưới ngưỡng.</t>
  </si>
  <si>
    <t>Expected excess return</t>
  </si>
  <si>
    <t>Lợi nhuận vượt VNINDEX 5 phiên dự báo, phải vượt chi phí + margin.</t>
  </si>
  <si>
    <t>Cận dưới expected excess return</t>
  </si>
  <si>
    <t>Cận thận trọng 80%; dùng để chặn tín hiệu không chắc chắn.</t>
  </si>
  <si>
    <t>Frozen holdout round trips</t>
  </si>
  <si>
    <t>Số chu kỳ mua-bán chưa đếm đủ để xác thực.</t>
  </si>
  <si>
    <t>swing_model_metrics.json</t>
  </si>
  <si>
    <t>Frozen holdout net return</t>
  </si>
  <si>
    <t>Lợi nhuận sau phí của tập test giữ nguyên.</t>
  </si>
  <si>
    <t>Frozen holdout Sharpe</t>
  </si>
  <si>
    <t>Lợi nhuận đã điều chỉnh rủi ro trên holdout.</t>
  </si>
  <si>
    <t>Reward / Risk</t>
  </si>
  <si>
    <t>Tỷ lệ lời/rủi ro của kế hoạch giá, nhưng không thay publish gate.</t>
  </si>
  <si>
    <t>risk_plan.json</t>
  </si>
  <si>
    <t>3. Quy tắc an toàn quan trọng</t>
  </si>
  <si>
    <t>• NO_EDGE = publish guard chưa đạt; không đồng nghĩa dự báo giá giảm.</t>
  </si>
  <si>
    <t>• Chỉ cho phép position_shares / position_value_vnd khi status = ACTIONABLE.</t>
  </si>
  <si>
    <t>• AUC, balanced accuracy, direction accuracy là metrics dự báo; chỉ backtest OOS sau phí mới kiểm chứng khả năng giao dịch.</t>
  </si>
  <si>
    <t>• Tài chính cơ bản và news hiện là snapshot_only / research_only nếu chưa có available_at lịch sử để kiểm tra OOS.</t>
  </si>
  <si>
    <t>Từ điển chỉ số dashboard</t>
  </si>
  <si>
    <t>Dùng sheet này như bảng tra cứu. “Cách đọc” là hướng dẫn bối cảnh, không phải rule giao dịch độc lập.</t>
  </si>
  <si>
    <t>Nhóm</t>
  </si>
  <si>
    <t>Chỉ số hiển thị</t>
  </si>
  <si>
    <t>Tên dữ liệu / công thức</t>
  </si>
  <si>
    <t>Ý nghĩa</t>
  </si>
  <si>
    <t>Cách đọc đúng</t>
  </si>
  <si>
    <t>Lưu ý / rủi ro</t>
  </si>
  <si>
    <t>Nguồn trong project</t>
  </si>
  <si>
    <t>Đơn vị</t>
  </si>
  <si>
    <t>Giá</t>
  </si>
  <si>
    <t>Latest close</t>
  </si>
  <si>
    <t>close[t]</t>
  </si>
  <si>
    <t>Giá đóng cửa phiên mới nhất.</t>
  </si>
  <si>
    <t>Mốc tham chiếu cho SMA, BB, stop/target.</t>
  </si>
  <si>
    <t>Giá lịch sử; kiểm tra latest_date và freshness.</t>
  </si>
  <si>
    <t>latest_levels.json</t>
  </si>
  <si>
    <t>nghìn VND/cp</t>
  </si>
  <si>
    <t>Return 1d/5d/20d</t>
  </si>
  <si>
    <t>close[t]/close[t-n] - 1</t>
  </si>
  <si>
    <t>Tỷ suất thay đổi giá nhiều khung.</t>
  </si>
  <si>
    <t>So sánh động lượng ngắn-trung hạn, không đánh đồng với dự báo.</t>
  </si>
  <si>
    <t>Dễ bị đảo chiều sau giai đoạn tăng/giảm mạnh.</t>
  </si>
  <si>
    <t>features/technical.py</t>
  </si>
  <si>
    <t>%</t>
  </si>
  <si>
    <t>SMA20 / SMA60</t>
  </si>
  <si>
    <t>Trung bình close 20 / 60 phiên</t>
  </si>
  <si>
    <t>Xu hướng ngắn và trung hạn.</t>
  </si>
  <si>
    <t>Close &gt; SMA gợi ý giá đang nằm trên xu hướng tương ứng.</t>
  </si>
  <si>
    <t>Độ trễ cao; dùng cùng MACD/ADX/volume.</t>
  </si>
  <si>
    <t>Close vs SMA</t>
  </si>
  <si>
    <t>close / SMA - 1</t>
  </si>
  <si>
    <t>Khoảng cách giá so với đường trung bình.</t>
  </si>
  <si>
    <t>Dương: trên SMA; âm: dưới SMA.</t>
  </si>
  <si>
    <t>Không cho biết ngưỡng đảo chiều chắc chắn.</t>
  </si>
  <si>
    <t>RSI14</t>
  </si>
  <si>
    <t>100 - 100/(1+RS), RS=avg gain/avg loss 14 phiên</t>
  </si>
  <si>
    <t>Cường độ tăng/giảm gần đây.</t>
  </si>
  <si>
    <t>&lt;30 thường quá bán; &gt;70 thường quá mua; vùng giữa là trung tính.</t>
  </si>
  <si>
    <t>Có thể neo lâu ở vùng cực trị khi trend mạnh.</t>
  </si>
  <si>
    <t>điểm 0–100</t>
  </si>
  <si>
    <t>MACD / Signal / Histogram</t>
  </si>
  <si>
    <t>EMA12-EMA26; Signal=EMA9(MACD); Hist=MACD-Signal</t>
  </si>
  <si>
    <t>Động lượng và giao cắt trend.</t>
  </si>
  <si>
    <t>Histogram &gt;0: MACD trên Signal; quan sát cùng vị trí so với 0.</t>
  </si>
  <si>
    <t>Giao cắt trong thị trường đi ngang dễ nhiễu.</t>
  </si>
  <si>
    <t>giá / tỷ lệ</t>
  </si>
  <si>
    <t>Bollinger Bands</t>
  </si>
  <si>
    <t>SMA20 ± 2×std20</t>
  </si>
  <si>
    <t>Dải biến động quanh trung bình.</t>
  </si>
  <si>
    <t>Giá gần dải dưới/trên chỉ là bối cảnh, không tự động đảo chiều.</t>
  </si>
  <si>
    <t>Cần nhìn bb_position và xu hướng.</t>
  </si>
  <si>
    <t>BB position / width</t>
  </si>
  <si>
    <t>(close-lower)/(upper-lower); (upper-lower)/SMA</t>
  </si>
  <si>
    <t>Vị trí trong dải và độ nén/mở biến động.</t>
  </si>
  <si>
    <t>0 gần dải dưới, 1 gần dải trên; width tăng = biến động mở rộng.</t>
  </si>
  <si>
    <t>Nếu upper=lower cần xử lý chia 0.</t>
  </si>
  <si>
    <t>tỷ lệ</t>
  </si>
  <si>
    <t>ATR14 / ATR%14</t>
  </si>
  <si>
    <t>MA(True Range,14); ATR/close</t>
  </si>
  <si>
    <t>Biến động tuyệt đối và tương đối.</t>
  </si>
  <si>
    <t>ATR% cao → stop/size cần rộng/nhỏ hơn.</t>
  </si>
  <si>
    <t>Không nói hướng giá.</t>
  </si>
  <si>
    <t>giá / %</t>
  </si>
  <si>
    <t>ADX14, +DI, -DI</t>
  </si>
  <si>
    <t>Wilder trend strength và hướng DI</t>
  </si>
  <si>
    <t>Sức mạnh xu hướng, không phải chiều trend độc lập.</t>
  </si>
  <si>
    <t>ADX cao +DI&gt;-DI gợi ý trend tăng; ADX cao -DI&gt;+DI gợi ý trend giảm.</t>
  </si>
  <si>
    <t>ADX thấp = thị trường có thể sideway.</t>
  </si>
  <si>
    <t>điểm</t>
  </si>
  <si>
    <t>Stochastic %K / %D</t>
  </si>
  <si>
    <t>Vị trí close trong high-low 14 phiên; %D=MA(%K,3)</t>
  </si>
  <si>
    <t>Động lượng trong biên dao động.</t>
  </si>
  <si>
    <t>&lt;20 / &gt;80 là vùng cực trị cần quan sát, không là lệnh tự động.</t>
  </si>
  <si>
    <t>Nhạy nhiễu; kết hợp trend lớn.</t>
  </si>
  <si>
    <t>Thanh khoản</t>
  </si>
  <si>
    <t>Volume ratio20</t>
  </si>
  <si>
    <t>volume[t] / mean(volume,20)</t>
  </si>
  <si>
    <t>Khối lượng hiện tại so với bình quân 20 phiên.</t>
  </si>
  <si>
    <t>&gt;1 = thanh khoản cao hơn trung bình.</t>
  </si>
  <si>
    <t>Khối lượng không thay thế kiểm tra chất lượng khớp lệnh.</t>
  </si>
  <si>
    <t>x</t>
  </si>
  <si>
    <t>Volume z-score20</t>
  </si>
  <si>
    <t>(volume-mean20)/std20</t>
  </si>
  <si>
    <t>Mức bất thường của khối lượng.</t>
  </si>
  <si>
    <t>|z| lớn = khác thường so với lịch sử gần.</t>
  </si>
  <si>
    <t>Ngoại lệ dữ liệu có thể làm méo std.</t>
  </si>
  <si>
    <t>z-score</t>
  </si>
  <si>
    <t>OBV</t>
  </si>
  <si>
    <t>Cộng/trừ volume theo hướng close</t>
  </si>
  <si>
    <t>Dòng khối lượng tích luỹ.</t>
  </si>
  <si>
    <t>Phân kỳ với giá chỉ là tín hiệu nghiên cứu.</t>
  </si>
  <si>
    <t>Phụ thuộc dữ liệu volume và quy tắc giá đóng cửa.</t>
  </si>
  <si>
    <t>khối lượng tích luỹ</t>
  </si>
  <si>
    <t>Mức giá</t>
  </si>
  <si>
    <t>Support / Resistance 20, 60</t>
  </si>
  <si>
    <t>Min low / max high cửa sổ 20,60 phiên</t>
  </si>
  <si>
    <t>Mốc kỹ thuật lịch sử.</t>
  </si>
  <si>
    <t>Đặt trong bối cảnh stop/target; kiểm tra khoảng cách từ entry.</t>
  </si>
  <si>
    <t>Không bảo đảm giá sẽ bật/gãy tại mốc.</t>
  </si>
  <si>
    <t>Max drawdown</t>
  </si>
  <si>
    <t>min(equity/running_peak - 1)</t>
  </si>
  <si>
    <t>Mức giảm sâu nhất từ đỉnh về đáy.</t>
  </si>
  <si>
    <t>Gần 0 tốt hơn; đọc cùng thời đoạn/strategy.</t>
  </si>
  <si>
    <t>Không phải VaR, không cho biết rủi ro tương lai.</t>
  </si>
  <si>
    <t>latest_levels.json / backtest</t>
  </si>
  <si>
    <t>VaR 95% daily</t>
  </si>
  <si>
    <t>Phân vị 5% return ngày (historical)</t>
  </si>
  <si>
    <t>Mức lỗ một ngày ở ngưỡng tin cậy 95% theo lịch sử.</t>
  </si>
  <si>
    <t>Ví dụ -3%: có 5% ngày lịch sử tệ hơn -3%.</t>
  </si>
  <si>
    <t>Không bao phủ đuôi cực trị / thay đổi chế độ thị trường.</t>
  </si>
  <si>
    <t>Kỹ thuật — ví dụ EIB tại ngày 2026-08-14</t>
  </si>
  <si>
    <t>Các giá trị dưới đây lấy từ latest_levels.json của report EIB chạy 2026-08-16. Đây là minh hoạ cách đọc, không phải tín hiệu độc lập.</t>
  </si>
  <si>
    <t>Giá trị EIB</t>
  </si>
  <si>
    <t>Diễn giải từ giá trị</t>
  </si>
  <si>
    <t>Mốc tham khảo</t>
  </si>
  <si>
    <t>Nên xem cùng</t>
  </si>
  <si>
    <t>Cảnh báo</t>
  </si>
  <si>
    <t>Giá đóng cửa gần nhất trong artifact.</t>
  </si>
  <si>
    <t>SMA20=17.73; SMA60=19.70</t>
  </si>
  <si>
    <t>Support / resistance</t>
  </si>
  <si>
    <t>Không phải giá realtime.</t>
  </si>
  <si>
    <t>Trend</t>
  </si>
  <si>
    <t>SMA20</t>
  </si>
  <si>
    <t>Close thấp hơn SMA20 ≈3.3% → yếu hơn trend ngắn.</t>
  </si>
  <si>
    <t>Close &gt; SMA20 là tích cực tương đối.</t>
  </si>
  <si>
    <t>SMA60, ADX</t>
  </si>
  <si>
    <t>SMA có độ trễ.</t>
  </si>
  <si>
    <t>SMA60</t>
  </si>
  <si>
    <t>Close thấp hơn SMA60 ≈12.9% → yếu hơn trend trung hạn.</t>
  </si>
  <si>
    <t>Close &gt; SMA60 là tích cực tương đối.</t>
  </si>
  <si>
    <t>RSI, MACD</t>
  </si>
  <si>
    <t>Không tự suy ra điểm đảo chiều.</t>
  </si>
  <si>
    <t>Momentum</t>
  </si>
  <si>
    <t>Gần vùng quá bán, nhưng chưa là điều kiện mua.</t>
  </si>
  <si>
    <t>&lt;30 quá bán; &gt;70 quá mua.</t>
  </si>
  <si>
    <t>ADX, MACD, price action</t>
  </si>
  <si>
    <t>Trend giảm mạnh có thể giữ RSI thấp lâu.</t>
  </si>
  <si>
    <t>MACD</t>
  </si>
  <si>
    <t>Dưới 0: động lượng nền vẫn âm.</t>
  </si>
  <si>
    <t>So với Signal và 0.</t>
  </si>
  <si>
    <t>Histogram</t>
  </si>
  <si>
    <t>Đơn vị giá, so sánh theo cùng mã.</t>
  </si>
  <si>
    <t>MACD Histogram</t>
  </si>
  <si>
    <t>Dương: MACD cao hơn Signal, có cải thiện rất ngắn hạn.</t>
  </si>
  <si>
    <t>&gt;0 là trên Signal.</t>
  </si>
  <si>
    <t>MACD level, RSI</t>
  </si>
  <si>
    <t>Không phủ định MACD dưới 0.</t>
  </si>
  <si>
    <t>Volatility</t>
  </si>
  <si>
    <t>ATR%14</t>
  </si>
  <si>
    <t>Biên dao động trung bình ≈3.32% giá/phiên.</t>
  </si>
  <si>
    <t>Cao → size thận trọng / stop rộng hơn.</t>
  </si>
  <si>
    <t>Risk per share</t>
  </si>
  <si>
    <t>Không dự báo chiều giá.</t>
  </si>
  <si>
    <t>ADX14</t>
  </si>
  <si>
    <t>Xu hướng đang có cường độ đáng kể; -DI cao hơn +DI.</t>
  </si>
  <si>
    <t>ADX &gt;25 thường cho thấy trend rõ hơn.</t>
  </si>
  <si>
    <t>+DI/-DI</t>
  </si>
  <si>
    <t>ADX không cho chiều trend nếu bỏ DI.</t>
  </si>
  <si>
    <t>+DI / -DI</t>
  </si>
  <si>
    <t>12.84 / 32.04</t>
  </si>
  <si>
    <t>-DI &gt; +DI: lực giảm trội hơn tại snapshot.</t>
  </si>
  <si>
    <t>+DI &gt; -DI tích cực tương đối.</t>
  </si>
  <si>
    <t>ADX, SMA</t>
  </si>
  <si>
    <t>Chỉ là snapshot.</t>
  </si>
  <si>
    <t>Band</t>
  </si>
  <si>
    <t>BB position20</t>
  </si>
  <si>
    <t>Giá nằm gần dải dưới Bollinger.</t>
  </si>
  <si>
    <t>0=dải dưới; 1=dải trên.</t>
  </si>
  <si>
    <t>RSI, support</t>
  </si>
  <si>
    <t>Không mặc định mean-reversion.</t>
  </si>
  <si>
    <t>Volume</t>
  </si>
  <si>
    <t>Khối lượng ≈79.6% bình quân 20 phiên.</t>
  </si>
  <si>
    <t>&gt;1 = cao hơn bình quân.</t>
  </si>
  <si>
    <t>Volume z-score, price move</t>
  </si>
  <si>
    <t>Không phản ánh spread/khả năng khớp trực tiếp.</t>
  </si>
  <si>
    <t>Risk</t>
  </si>
  <si>
    <t>Đã từng giảm tối đa ≈57.0% từ đỉnh lịch sử.</t>
  </si>
  <si>
    <t>Gần 0 tốt hơn.</t>
  </si>
  <si>
    <t>Time period, VaR</t>
  </si>
  <si>
    <t>Lịch sử dài, không phải drawdown lệnh mới.</t>
  </si>
  <si>
    <t>VaR95 daily</t>
  </si>
  <si>
    <t>Phân vị lịch sử 5% ≈ lỗ 3.0%/ngày hoặc tệ hơn.</t>
  </si>
  <si>
    <t>Luôn ghi rõ là historical VaR.</t>
  </si>
  <si>
    <t>ATR, liquidity</t>
  </si>
  <si>
    <t>Không bao hàm tail risk.</t>
  </si>
  <si>
    <t>ML &amp; Backtest — đo chất lượng dự báo và khả năng giao dịch</t>
  </si>
  <si>
    <t>Project dùng XGBoost regression dự báo excess return 5 phiên so với VNINDEX; validation là nested expanding walk-forward + frozen holdout. Không dùng classifier cũ cho signal guard.</t>
  </si>
  <si>
    <t>Định nghĩa / công thức</t>
  </si>
  <si>
    <t>Mục đích</t>
  </si>
  <si>
    <t>Không được kết luận</t>
  </si>
  <si>
    <t>Artifact / code</t>
  </si>
  <si>
    <t>Target</t>
  </si>
  <si>
    <t>Expected excess return 5d</t>
  </si>
  <si>
    <t>Return cổ phiếu từ open[t+1] đến close[t+5] trừ return VNINDEX cùng cửa sổ</t>
  </si>
  <si>
    <t>Đo lợi thế dự báo so với thị trường.</t>
  </si>
  <si>
    <t>&gt; chi phí + entry margin mới có ý nghĩa thực thi.</t>
  </si>
  <si>
    <t>Dương = chắc chắn mua được.</t>
  </si>
  <si>
    <t>Validation</t>
  </si>
  <si>
    <t>Development OOS</t>
  </si>
  <si>
    <t>Các fold test theo thời gian trong expanding walk-forward</t>
  </si>
  <si>
    <t>Ước lượng ngoài mẫu trong quá trình phát triển.</t>
  </si>
  <si>
    <t>Chỉ là bằng chứng ban đầu; cần holdout độc lập.</t>
  </si>
  <si>
    <t>Development tốt = deploy được.</t>
  </si>
  <si>
    <t>tập thời gian</t>
  </si>
  <si>
    <t>Frozen holdout</t>
  </si>
  <si>
    <t>126 hàng cuối, tách bằng gap 5 phiên, không tuning</t>
  </si>
  <si>
    <t>Kiểm tra cuối cùng không bị dùng để chọn model.</t>
  </si>
  <si>
    <t>Cần đủ trade, net return/Sharpe/ranking dương.</t>
  </si>
  <si>
    <t>Có 1 metric đẹp là pass gate.</t>
  </si>
  <si>
    <t>Regression</t>
  </si>
  <si>
    <t>MAE</t>
  </si>
  <si>
    <t>mean(|actual - predicted|)</t>
  </si>
  <si>
    <t>Sai số tuyệt đối bình quân của expected excess return.</t>
  </si>
  <si>
    <t>Thấp hơn baseline cùng tập là tốt hơn.</t>
  </si>
  <si>
    <t>MAE thấp tự động có alpha.</t>
  </si>
  <si>
    <t>RMSE</t>
  </si>
  <si>
    <t>sqrt(mean((actual - predicted)^2))</t>
  </si>
  <si>
    <t>Phạt mạnh hơn các lỗi lớn.</t>
  </si>
  <si>
    <t>RMSE nhỏ luôn tạo lãi sau phí.</t>
  </si>
  <si>
    <t>Directional accuracy</t>
  </si>
  <si>
    <t>Tỷ lệ sign(prediction)=sign(actual)</t>
  </si>
  <si>
    <t>Độ đúng hướng trên regression.</t>
  </si>
  <si>
    <t>So với baseline và cần đủ quan sát.</t>
  </si>
  <si>
    <t>Là accuracy phân loại hay chứng minh lợi nhuận.</t>
  </si>
  <si>
    <t>Correlation / Rank IC</t>
  </si>
  <si>
    <t>corr(predicted, actual); Rank IC = corr(rank score, rank future return)</t>
  </si>
  <si>
    <t>Khả năng xếp hạng dự báo với lợi nhuận thực.</t>
  </si>
  <si>
    <t>Cần dương, ổn định qua thời gian; panel yêu cầu HAC t-stat &gt;=1.96.</t>
  </si>
  <si>
    <t>Tương quan dương nhỏ là đủ trade.</t>
  </si>
  <si>
    <t>panel/evaluation.py</t>
  </si>
  <si>
    <t>hệ số</t>
  </si>
  <si>
    <t>Uncertainty</t>
  </si>
  <si>
    <t>Lower bound expected return</t>
  </si>
  <si>
    <t>point forecast - conformal radius</t>
  </si>
  <si>
    <t>Cận dưới thận trọng của forecast.</t>
  </si>
  <si>
    <t>Project dùng confidence 80%; cận dưới phải vượt required expected return.</t>
  </si>
  <si>
    <t>Point forecast dương là đủ.</t>
  </si>
  <si>
    <t>Backtest</t>
  </si>
  <si>
    <t>Gross total return</t>
  </si>
  <si>
    <t>Tổng return trước commission/slippage/tax</t>
  </si>
  <si>
    <t>Phân biệt hiệu quả lý thuyết trước chi phí.</t>
  </si>
  <si>
    <t>Luôn đối chiếu net return.</t>
  </si>
  <si>
    <t>Gross dương = strategy tradeable.</t>
  </si>
  <si>
    <t>Net total return</t>
  </si>
  <si>
    <t>Return sau entry cost 20bps + exit cost 30bps</t>
  </si>
  <si>
    <t>Hiệu quả đã tính chi phí giả định.</t>
  </si>
  <si>
    <t>OOS/holdout phải dương cho gate.</t>
  </si>
  <si>
    <t>Là dự báo tương lai.</t>
  </si>
  <si>
    <t>Sharpe ratio</t>
  </si>
  <si>
    <t>Annualized return / annualized volatility (252 phiên)</t>
  </si>
  <si>
    <t>Lợi nhuận điều chỉnh rủi ro.</t>
  </si>
  <si>
    <t>&gt;0 là điều kiện tối thiểu; so sánh cùng kỳ/chiến lược.</t>
  </si>
  <si>
    <t>Là lợi nhuận tuyệt đối.</t>
  </si>
  <si>
    <t>backtest/engine.py</t>
  </si>
  <si>
    <t>ratio</t>
  </si>
  <si>
    <t>Mức giảm equity sâu nhất từ đỉnh</t>
  </si>
  <si>
    <t>Rủi ro giảm vốn trong backtest.</t>
  </si>
  <si>
    <t>Gần 0 tốt hơn; xem với return/Sharpe.</t>
  </si>
  <si>
    <t>Một strategy ít drawdown chắc chắn tốt hơn.</t>
  </si>
  <si>
    <t>Completed round trips</t>
  </si>
  <si>
    <t>Số lần entry + exit hoàn chỉnh</t>
  </si>
  <si>
    <t>Độ đủ mẫu của backtest thực thi.</t>
  </si>
  <si>
    <t>Frozen holdout yêu cầu &gt;=10.</t>
  </si>
  <si>
    <t>Nhiều trade luôn tốt.</t>
  </si>
  <si>
    <t>lần</t>
  </si>
  <si>
    <t>Hit rate</t>
  </si>
  <si>
    <t>Tỷ lệ trade lời</t>
  </si>
  <si>
    <t>Tần suất thắng trade.</t>
  </si>
  <si>
    <t>Đọc cùng profit factor, payoff, cost.</t>
  </si>
  <si>
    <t>Hit rate &gt;50% là đủ tốt.</t>
  </si>
  <si>
    <t>Profit factor</t>
  </si>
  <si>
    <t>Tổng lãi / |tổng lỗ|</t>
  </si>
  <si>
    <t>Tỷ lệ tổng lợi nhuận trên tổng thua lỗ.</t>
  </si>
  <si>
    <t>&gt;1 tốt hơn, nhưng mẫu nhỏ có thể không ổn định.</t>
  </si>
  <si>
    <t>Thay thế net return / Sharpe.</t>
  </si>
  <si>
    <t>Cost</t>
  </si>
  <si>
    <t>Round-trip cost</t>
  </si>
  <si>
    <t>Entry 20bps + exit 30bps = 50bps</t>
  </si>
  <si>
    <t>Chi phí mô phỏng: commission, slippage, sell tax.</t>
  </si>
  <si>
    <t>Stress 1x/1.5x/2x để xem độ bền.</t>
  </si>
  <si>
    <t>Cost giả định = fill thực tế.</t>
  </si>
  <si>
    <t>bps</t>
  </si>
  <si>
    <t>Model</t>
  </si>
  <si>
    <t>Feature importance gain</t>
  </si>
  <si>
    <t>Mức đóng góp giảm loss khi split trong XGBoost</t>
  </si>
  <si>
    <t>Nhận diện feature model dùng nhiều.</t>
  </si>
  <si>
    <t>Dùng để kiểm tra / nghiên cứu; không suy ra nguyên nhân.</t>
  </si>
  <si>
    <t>Feature quan trọng = quan hệ nhân quả.</t>
  </si>
  <si>
    <t>relative gain</t>
  </si>
  <si>
    <t>Legacy classifier</t>
  </si>
  <si>
    <t>ROC-AUC / Balanced accuracy / Logloss</t>
  </si>
  <si>
    <t>Metrics classifier cũ</t>
  </si>
  <si>
    <t>Theo dõi nghiên cứu classifier.</t>
  </si>
  <si>
    <t>Trong artifact hiện tại: research_only_not_used_for_signal_guard.</t>
  </si>
  <si>
    <t>AUC/balanced accuracy là lợi nhuận.</t>
  </si>
  <si>
    <t>model_metrics.json</t>
  </si>
  <si>
    <t>Rủi ro &amp; Tín hiệu — publish guard, plan giá và size</t>
  </si>
  <si>
    <t>Một setup chỉ được thực thi nếu status ACTIONABLE. Reward/risk đạt không thể ghi đè các kiểm tra backtest, technical context và freshness.</t>
  </si>
  <si>
    <t>Chỉ số / trạng thái</t>
  </si>
  <si>
    <t>Định nghĩa</t>
  </si>
  <si>
    <t>Ngưỡng config</t>
  </si>
  <si>
    <t>Cách dùng trong project</t>
  </si>
  <si>
    <t>Snapshot EIB</t>
  </si>
  <si>
    <t>Diễn giải</t>
  </si>
  <si>
    <t>Nguồn</t>
  </si>
  <si>
    <t>Publish</t>
  </si>
  <si>
    <t>NO_EDGE / WATCH / CANDIDATE / ACTIONABLE</t>
  </si>
  <si>
    <t>Trạng thái governance sau khi kiểm tra bằng chứng.</t>
  </si>
  <si>
    <t>ACTIONABLE cần pass toàn bộ; WATCH chỉ near-threshold theo cấu hình.</t>
  </si>
  <si>
    <t>Non-ACTIONABLE sẽ xoá position_shares và position_value_vnd.</t>
  </si>
  <si>
    <t>Không phát lệnh mới, không phải dự báo giảm.</t>
  </si>
  <si>
    <t>risk/decision.py</t>
  </si>
  <si>
    <t>Freshness</t>
  </si>
  <si>
    <t>latest_data_age_days</t>
  </si>
  <si>
    <t>Số ngày từ dữ liệu mới nhất đến thời điểm chạy.</t>
  </si>
  <si>
    <t>&lt;=5 ngày</t>
  </si>
  <si>
    <t>Tránh dùng dashboard cũ.</t>
  </si>
  <si>
    <t>Pass freshness cho EIB.</t>
  </si>
  <si>
    <t>Technical</t>
  </si>
  <si>
    <t>technical_score</t>
  </si>
  <si>
    <t>Điểm tổng hợp bối cảnh kỹ thuật.</t>
  </si>
  <si>
    <t>&gt;=2</t>
  </si>
  <si>
    <t>Là một publish gate, cần phối hợp model/risk.</t>
  </si>
  <si>
    <t>Fail: technical context không đủ.</t>
  </si>
  <si>
    <t>Forecast</t>
  </si>
  <si>
    <t>latest expected excess return</t>
  </si>
  <si>
    <t>Forecast point return vượt VNINDEX 5d.</t>
  </si>
  <si>
    <t>&gt;=1.0%</t>
  </si>
  <si>
    <t>Phải vượt chi phí + margin ở cận dưới.</t>
  </si>
  <si>
    <t>Fail.</t>
  </si>
  <si>
    <t>lower bound expected excess return</t>
  </si>
  <si>
    <t>Point forecast trừ conformal radius 80%.</t>
  </si>
  <si>
    <t>Chặn forecast không chắc chắn.</t>
  </si>
  <si>
    <t>Fail nặng hơn point forecast.</t>
  </si>
  <si>
    <t>Sample</t>
  </si>
  <si>
    <t>frozen completed round trips</t>
  </si>
  <si>
    <t>Số chu kỳ entry-exit hoàn chỉnh trên frozen holdout.</t>
  </si>
  <si>
    <t>&gt;=10</t>
  </si>
  <si>
    <t>Chặn kết luận với mẫu quá ít.</t>
  </si>
  <si>
    <t>Fail: chỉ 2 trades.</t>
  </si>
  <si>
    <t>Economics</t>
  </si>
  <si>
    <t>frozen net return / Sharpe</t>
  </si>
  <si>
    <t>Lợi nhuận sau phí / return điều chỉnh volatility.</t>
  </si>
  <si>
    <t>&gt;0 / &gt;0</t>
  </si>
  <si>
    <t>Xác nhận edge sau chi phí.</t>
  </si>
  <si>
    <t>-7.44% / -0.87</t>
  </si>
  <si>
    <t>Fail net edge.</t>
  </si>
  <si>
    <t>Baseline</t>
  </si>
  <si>
    <t>beats zero-excess baseline</t>
  </si>
  <si>
    <t>MAE frozen holdout phải tốt hơn forecast excess return = 0.</t>
  </si>
  <si>
    <t>true</t>
  </si>
  <si>
    <t>Tránh model phức tạp nhưng không hơn dự báo 0.</t>
  </si>
  <si>
    <t>false</t>
  </si>
  <si>
    <t>Fail baseline.</t>
  </si>
  <si>
    <t>Risk plan</t>
  </si>
  <si>
    <t>Risk per trade</t>
  </si>
  <si>
    <t>Vốn rủi ro cho một lệnh = capital × risk_per_trade_pct.</t>
  </si>
  <si>
    <t>1.0%</t>
  </si>
  <si>
    <t>EIB: 100m × 1% = 1m VND, chỉ tham chiếu.</t>
  </si>
  <si>
    <t>1,000,000 VND</t>
  </si>
  <si>
    <t>Không phải size được phép khi NO_EDGE.</t>
  </si>
  <si>
    <t>Stop loss</t>
  </si>
  <si>
    <t>Effective entry - ATR stop distance có điều chỉnh phí.</t>
  </si>
  <si>
    <t>ATR×1.5</t>
  </si>
  <si>
    <t>Giới hạn lỗ dự kiến mỗi cổ phiếu.</t>
  </si>
  <si>
    <t>16.295</t>
  </si>
  <si>
    <t>Plan giá, không phải lệnh.</t>
  </si>
  <si>
    <t>Target 1 / 2</t>
  </si>
  <si>
    <t>Mốc take-profit từ resistance / reward requirement.</t>
  </si>
  <si>
    <t>Reward/Risk &gt;=1.5</t>
  </si>
  <si>
    <t>Đánh giá payoff so với stop.</t>
  </si>
  <si>
    <t>18.95 / 20.53</t>
  </si>
  <si>
    <t>Không được dùng nếu guard fail.</t>
  </si>
  <si>
    <t>reward_per_share / risk_per_share</t>
  </si>
  <si>
    <t>&gt;=1.5x</t>
  </si>
  <si>
    <t>Một điều kiện cần, không đủ.</t>
  </si>
  <si>
    <t>Pass nhưng vẫn NO_EDGE.</t>
  </si>
  <si>
    <t>Liquidity</t>
  </si>
  <si>
    <t>max_volume_fraction</t>
  </si>
  <si>
    <t>Tỷ lệ tối đa của volume ngày dùng cho size mô phỏng.</t>
  </si>
  <si>
    <t>Giảm giả định fill quá mức.</t>
  </si>
  <si>
    <t>Cần chứng minh spread/fill thực tế khi triển khai.</t>
  </si>
  <si>
    <t>Execution</t>
  </si>
  <si>
    <t>lot_size / price_multiplier</t>
  </si>
  <si>
    <t>Lô giao dịch và đơn vị giá VND.</t>
  </si>
  <si>
    <t>100 / 1,000</t>
  </si>
  <si>
    <t>Làm tròn size và quy đổi position value.</t>
  </si>
  <si>
    <t>Chỉ dùng khi ACTIONABLE.</t>
  </si>
  <si>
    <t>Nguồn dữ liệu, phạm vi và giới hạn</t>
  </si>
  <si>
    <t>Tất cả nội dung workbook được kiểm tra từ code/config và artifact EIB trong repo vào 2026-08-17. Không khẳng định dữ liệu realtime hoặc hiệu quả tương lai.</t>
  </si>
  <si>
    <t>Hạng mục</t>
  </si>
  <si>
    <t>Nguồn / file</t>
  </si>
  <si>
    <t>Vai trò</t>
  </si>
  <si>
    <t>Trạng thái sử dụng</t>
  </si>
  <si>
    <t>Điểm cần kiểm tra khi đọc dashboard</t>
  </si>
  <si>
    <t>Giới hạn</t>
  </si>
  <si>
    <t>Ghi chú</t>
  </si>
  <si>
    <t>Giá OHLCV</t>
  </si>
  <si>
    <t>src/data/fetch.py; vnstock / VCI</t>
  </si>
  <si>
    <t>Giá, khối lượng, VNINDEX benchmark</t>
  </si>
  <si>
    <t>Active model input</t>
  </si>
  <si>
    <t>latest_date, missing/quarantine, freshness</t>
  </si>
  <si>
    <t>Nguồn ngoài có thể sửa lịch sử / chậm</t>
  </si>
  <si>
    <t>EIB: 4,193 source rows; 2 quarantined zero-volume.</t>
  </si>
  <si>
    <t>Làm sạch</t>
  </si>
  <si>
    <t>src/data/transform.py; data_quality_report.json</t>
  </si>
  <si>
    <t>Quarantine duplicate, invalid OHLCV, zero volume</t>
  </si>
  <si>
    <t>Active</t>
  </si>
  <si>
    <t>cleaned_rows vs quarantined_rows</t>
  </si>
  <si>
    <t>Quy tắc zero-volume ảnh hưởng mẫu</t>
  </si>
  <si>
    <t>Không dùng row lỗi để train/backtest.</t>
  </si>
  <si>
    <t>src/features/technical.py; latest_levels.json</t>
  </si>
  <si>
    <t>Tạo SMA, RSI, MACD, BB, ATR, ADX, volume feature</t>
  </si>
  <si>
    <t>Dùng nhiều chỉ số cùng bối cảnh</t>
  </si>
  <si>
    <t>Lag/noise, không là tín hiệu độc lập</t>
  </si>
  <si>
    <t>Các feature xuất hiện trong swing_model_metrics.json.</t>
  </si>
  <si>
    <t>Thị trường</t>
  </si>
  <si>
    <t>VNINDEX qua pipeline fetch</t>
  </si>
  <si>
    <t>Market return/volatility, excess return, beta, corr</t>
  </si>
  <si>
    <t>Target phải là excess return cùng cửa sổ</t>
  </si>
  <si>
    <t>Phụ thuộc benchmark fetch</t>
  </si>
  <si>
    <t>Không thay thế kiểm tra từng cổ phiếu.</t>
  </si>
  <si>
    <t>src/forecast/supervised.py; swing_model_metrics.json</t>
  </si>
  <si>
    <t>XGBoost regression 5d excess return</t>
  </si>
  <si>
    <t>Active signal research + guard</t>
  </si>
  <si>
    <t>Frozen holdout, baseline, cost stress, uncertainty</t>
  </si>
  <si>
    <t>Latest point forecast không đủ</t>
  </si>
  <si>
    <t>Execution contract fixed_horizon_swing_5d.</t>
  </si>
  <si>
    <t>src/backtest/engine.py</t>
  </si>
  <si>
    <t>Cash-long swing, next-session open entry, close exit</t>
  </si>
  <si>
    <t>Active signal guard evidence</t>
  </si>
  <si>
    <t>Net return, Sharpe, drawdown, completed round trips</t>
  </si>
  <si>
    <t>Simulation assumptions không bảo đảm fill thực</t>
  </si>
  <si>
    <t>Cost entry 20 bps + exit 30 bps.</t>
  </si>
  <si>
    <t>Risk governance</t>
  </si>
  <si>
    <t>src/risk/decision.py; risk_plan.json</t>
  </si>
  <si>
    <t>Publish gate, risk plan, position suppression</t>
  </si>
  <si>
    <t>status, failed_checks, allowed_position_shares</t>
  </si>
  <si>
    <t>Không nới gate để tạo trade</t>
  </si>
  <si>
    <t>EIB status NO_EDGE.</t>
  </si>
  <si>
    <t>Fundamentals</t>
  </si>
  <si>
    <t>financial statements / ratios artifacts</t>
  </si>
  <si>
    <t>Dashboard / screening context</t>
  </si>
  <si>
    <t>snapshot_only</t>
  </si>
  <si>
    <t>available_at / published_at trước khi dùng OOS</t>
  </si>
  <si>
    <t>Chưa xác minh point-in-time lịch sử</t>
  </si>
  <si>
    <t>Không được coi là feature trade đã OOS.</t>
  </si>
  <si>
    <t>News</t>
  </si>
  <si>
    <t>src/research/*; news artifacts</t>
  </si>
  <si>
    <t>Research context và dashboard evidence</t>
  </si>
  <si>
    <t>research_only</t>
  </si>
  <si>
    <t>timestamp, source, available_at</t>
  </si>
  <si>
    <t>Rủi ro leakage / chất lượng source</t>
  </si>
  <si>
    <t>Không được coi là alpha nếu chưa ablation OOS.</t>
  </si>
  <si>
    <t>AI narrative</t>
  </si>
  <si>
    <t>src/ai/ollama_report.py; ai_analysis.json</t>
  </si>
  <si>
    <t>Tóm tắt có dẫn chứng dashboard</t>
  </si>
  <si>
    <t>Research-only presentation</t>
  </si>
  <si>
    <t>Liên kết lại với source/raw artifact</t>
  </si>
  <si>
    <t>LLM có thể suy diễn vượt bằng chứng</t>
  </si>
  <si>
    <t>Không ghi đè NO_EDGE.</t>
  </si>
  <si>
    <t>Artifact minh hoạ được dùng trong workbook này</t>
  </si>
  <si>
    <t>Artifact</t>
  </si>
  <si>
    <t>Đường dẫn tương đối trong repo</t>
  </si>
  <si>
    <t>Điều đã dùng</t>
  </si>
  <si>
    <t>Dashboard signal</t>
  </si>
  <si>
    <t>reports/EIB/2026-08-16_12-35-15/all_files/signal_decision.json</t>
  </si>
  <si>
    <t>NO_EDGE, failed checks, thresholds, freshness.</t>
  </si>
  <si>
    <t>Latest levels</t>
  </si>
  <si>
    <t>reports/EIB/2026-08-16_12-35-15/all_files/latest_levels.json</t>
  </si>
  <si>
    <t>EIB technical snapshot ngày 2026-08-14.</t>
  </si>
  <si>
    <t>Swing metrics</t>
  </si>
  <si>
    <t>reports/EIB/2026-08-16_12-35-15/all_files/swing_model_metrics.json</t>
  </si>
  <si>
    <t>Validation, frozen holdout, cost, uncertainty, target.</t>
  </si>
  <si>
    <t>reports/EIB/2026-08-16_12-35-15/all_files/risk_plan.json</t>
  </si>
  <si>
    <t>Stop, target, risk/reward, capital reference.</t>
  </si>
  <si>
    <t>Data quality</t>
  </si>
  <si>
    <t>reports/EIB/2026-08-16_12-35-15/all_files/data_quality_report.json</t>
  </si>
  <si>
    <t>Source/cleaned/quarantined rows.</t>
  </si>
  <si>
    <t>Configuration</t>
  </si>
  <si>
    <t>config.json</t>
  </si>
  <si>
    <t>Guard thresholds and risk parameters.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</si>
</sst>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\x"/>
    <numFmt numFmtId="165" formatCode="0.0"/>
    <numFmt numFmtId="166" formatCode="0.000"/>
    <numFmt numFmtId="167" formatCode="0.0%"/>
  </numFmts>
  <fonts count="6">
    <font>
      <sz val="11"/>
      <name val="Carlito"/>
    </font>
    <font>
      <b/>
      <sz val="14"/>
      <color rgb="FFFFFFFF"/>
      <name val="Aptos Display"/>
    </font>
    <font>
      <sz val="14"/>
      <color rgb="FF1F2937"/>
      <name val="Aptos"/>
    </font>
    <font>
      <sz val="14"/>
      <name val="Carlito"/>
    </font>
    <font>
      <i/>
      <sz val="14"/>
      <color rgb="FF35516A"/>
      <name val="Aptos"/>
    </font>
    <font>
      <b/>
      <sz val="14"/>
      <color rgb="FF1F2937"/>
      <name val="Aptos"/>
    </font>
  </fonts>
  <fills count="8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E6F4F7"/>
      </patternFill>
    </fill>
    <fill>
      <patternFill patternType="solid">
        <fgColor rgb="FF0E7490"/>
      </patternFill>
    </fill>
    <fill>
      <patternFill patternType="solid">
        <fgColor rgb="FFFFF4CC"/>
      </patternFill>
    </fill>
    <fill>
      <patternFill patternType="solid">
        <fgColor rgb="FFF3F6F8"/>
      </patternFill>
    </fill>
  </fills>
  <borders count="2">
    <border>
      <left/>
      <right/>
      <top/>
      <bottom/>
      <diagonal/>
    </border>
    <border>
      <left style="thin">
        <color rgb="FFD6DEE5"/>
      </left>
      <right style="thin">
        <color rgb="FFD6DEE5"/>
      </right>
      <top style="thin">
        <color rgb="FFD6DEE5"/>
      </top>
      <bottom style="thin">
        <color rgb="FFD6DEE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vertical="center" wrapText="1"/>
    </xf>
    <xf numFmtId="0" fontId="2" fillId="0" borderId="0" xfId="0" applyFont="1"/>
    <xf numFmtId="0" fontId="5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2" fontId="2" fillId="0" borderId="1" xfId="0" applyNumberFormat="1" applyFont="1" applyBorder="1" applyAlignment="1">
      <alignment vertical="top" wrapText="1"/>
    </xf>
    <xf numFmtId="10" fontId="2" fillId="0" borderId="1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/>
    </xf>
    <xf numFmtId="0" fontId="5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left" vertical="top" wrapText="1"/>
    </xf>
    <xf numFmtId="166" fontId="2" fillId="0" borderId="1" xfId="0" applyNumberFormat="1" applyFont="1" applyBorder="1" applyAlignment="1">
      <alignment horizontal="left" vertical="top" wrapText="1"/>
    </xf>
    <xf numFmtId="10" fontId="2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167" fontId="2" fillId="0" borderId="1" xfId="0" applyNumberFormat="1" applyFont="1" applyBorder="1" applyAlignment="1">
      <alignment horizontal="left" vertical="top" wrapText="1"/>
    </xf>
    <xf numFmtId="0" fontId="5" fillId="4" borderId="0" xfId="0" applyFont="1" applyFill="1" applyAlignment="1">
      <alignment vertical="center"/>
    </xf>
    <xf numFmtId="0" fontId="2" fillId="7" borderId="0" xfId="0" applyFont="1" applyFill="1" applyAlignment="1">
      <alignment horizontal="left"/>
    </xf>
    <xf numFmtId="0" fontId="5" fillId="4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vertical="top" wrapText="1"/>
    </xf>
    <xf numFmtId="0" fontId="2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6">
    <dxf>
      <font>
        <b/>
        <color rgb="FF166534"/>
      </font>
      <fill>
        <patternFill patternType="solid">
          <bgColor rgb="FFE7F6EC"/>
        </patternFill>
      </fill>
    </dxf>
    <dxf>
      <font>
        <b/>
        <color rgb="FFB42318"/>
      </font>
      <fill>
        <patternFill patternType="solid">
          <bgColor rgb="FFFDE8E7"/>
        </patternFill>
      </fill>
    </dxf>
    <dxf>
      <font>
        <b/>
        <color rgb="FF166534"/>
      </font>
      <fill>
        <patternFill patternType="solid">
          <bgColor rgb="FFE7F6EC"/>
        </patternFill>
      </fill>
    </dxf>
    <dxf>
      <font>
        <b/>
        <color rgb="FF166534"/>
      </font>
      <fill>
        <patternFill patternType="solid">
          <bgColor rgb="FFE7F6EC"/>
        </patternFill>
      </fill>
    </dxf>
    <dxf>
      <font>
        <b/>
        <color rgb="FFB42318"/>
      </font>
      <fill>
        <patternFill patternType="solid">
          <bgColor rgb="FFFDE8E7"/>
        </patternFill>
      </fill>
    </dxf>
    <dxf>
      <font>
        <b/>
        <color rgb="FF166534"/>
      </font>
      <fill>
        <patternFill patternType="solid">
          <b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topLeftCell="A7" zoomScale="150" zoomScaleNormal="150" workbookViewId="0">
      <selection activeCell="B6" sqref="B6:C9"/>
    </sheetView>
  </sheetViews>
  <sheetFormatPr baseColWidth="10" defaultColWidth="8.83203125" defaultRowHeight="18"/>
  <cols>
    <col min="1" max="1" width="35" style="3" customWidth="1"/>
    <col min="2" max="3" width="26.1640625" style="3" customWidth="1"/>
    <col min="4" max="4" width="17" style="3" customWidth="1"/>
    <col min="5" max="5" width="32.83203125" style="3" customWidth="1"/>
    <col min="6" max="6" width="31" style="3" customWidth="1"/>
    <col min="7" max="8" width="3" style="3" customWidth="1"/>
    <col min="9" max="16384" width="8.83203125" style="3"/>
  </cols>
  <sheetData>
    <row r="1" spans="1:8" ht="28" customHeight="1">
      <c r="A1" s="1" t="s">
        <v>0</v>
      </c>
      <c r="B1" s="2"/>
      <c r="C1" s="2"/>
      <c r="D1" s="2"/>
      <c r="E1" s="2"/>
      <c r="F1" s="2"/>
      <c r="G1" s="2"/>
      <c r="H1" s="2"/>
    </row>
    <row r="2" spans="1:8" ht="32" customHeight="1">
      <c r="A2" s="4" t="s">
        <v>1</v>
      </c>
      <c r="B2" s="2"/>
      <c r="C2" s="2"/>
      <c r="D2" s="2"/>
      <c r="E2" s="2"/>
      <c r="F2" s="2"/>
      <c r="G2" s="2"/>
      <c r="H2" s="2"/>
    </row>
    <row r="3" spans="1:8" ht="19">
      <c r="A3" s="5"/>
      <c r="B3" s="5"/>
      <c r="C3" s="5"/>
      <c r="D3" s="5"/>
      <c r="E3" s="5"/>
      <c r="F3" s="5"/>
      <c r="G3" s="5"/>
      <c r="H3" s="5"/>
    </row>
    <row r="4" spans="1:8" ht="22" customHeight="1">
      <c r="A4" s="25" t="s">
        <v>2</v>
      </c>
      <c r="B4" s="2"/>
      <c r="C4" s="2"/>
      <c r="D4" s="2"/>
      <c r="E4" s="2"/>
      <c r="F4" s="2"/>
      <c r="G4" s="2"/>
      <c r="H4" s="2"/>
    </row>
    <row r="5" spans="1:8" ht="35" customHeight="1">
      <c r="A5" s="6" t="s">
        <v>3</v>
      </c>
      <c r="B5" s="6" t="s">
        <v>4</v>
      </c>
      <c r="C5" s="6" t="s">
        <v>5</v>
      </c>
      <c r="D5" s="6" t="s">
        <v>6</v>
      </c>
      <c r="E5" s="5"/>
      <c r="F5" s="5"/>
      <c r="G5" s="5"/>
      <c r="H5" s="5"/>
    </row>
    <row r="6" spans="1:8" ht="43" customHeight="1">
      <c r="A6" s="28">
        <v>1</v>
      </c>
      <c r="B6" s="7" t="s">
        <v>7</v>
      </c>
      <c r="C6" s="7" t="s">
        <v>8</v>
      </c>
      <c r="D6" s="7" t="s">
        <v>9</v>
      </c>
      <c r="E6" s="5"/>
      <c r="F6" s="5"/>
      <c r="G6" s="5"/>
      <c r="H6" s="5"/>
    </row>
    <row r="7" spans="1:8" ht="43" customHeight="1">
      <c r="A7" s="28">
        <v>2</v>
      </c>
      <c r="B7" s="7" t="s">
        <v>10</v>
      </c>
      <c r="C7" s="7" t="s">
        <v>11</v>
      </c>
      <c r="D7" s="7" t="s">
        <v>12</v>
      </c>
      <c r="E7" s="5"/>
      <c r="F7" s="5"/>
      <c r="G7" s="5"/>
      <c r="H7" s="5"/>
    </row>
    <row r="8" spans="1:8" ht="43" customHeight="1">
      <c r="A8" s="28">
        <v>3</v>
      </c>
      <c r="B8" s="7" t="s">
        <v>13</v>
      </c>
      <c r="C8" s="7" t="s">
        <v>14</v>
      </c>
      <c r="D8" s="7" t="s">
        <v>15</v>
      </c>
      <c r="E8" s="5"/>
      <c r="F8" s="5"/>
      <c r="G8" s="5"/>
      <c r="H8" s="5"/>
    </row>
    <row r="9" spans="1:8" ht="43" customHeight="1">
      <c r="A9" s="28">
        <v>4</v>
      </c>
      <c r="B9" s="7" t="s">
        <v>16</v>
      </c>
      <c r="C9" s="7" t="s">
        <v>17</v>
      </c>
      <c r="D9" s="7" t="s">
        <v>18</v>
      </c>
      <c r="E9" s="5"/>
      <c r="F9" s="5"/>
      <c r="G9" s="5"/>
      <c r="H9" s="5"/>
    </row>
    <row r="10" spans="1:8" ht="43" customHeight="1">
      <c r="A10" s="28">
        <v>5</v>
      </c>
      <c r="B10" s="7" t="s">
        <v>19</v>
      </c>
      <c r="C10" s="7" t="s">
        <v>20</v>
      </c>
      <c r="D10" s="7" t="s">
        <v>21</v>
      </c>
      <c r="E10" s="5"/>
      <c r="F10" s="5"/>
      <c r="G10" s="5"/>
      <c r="H10" s="5"/>
    </row>
    <row r="11" spans="1:8" ht="19">
      <c r="A11" s="5"/>
      <c r="B11" s="5"/>
      <c r="C11" s="5"/>
      <c r="D11" s="5"/>
      <c r="E11" s="5"/>
      <c r="F11" s="5"/>
      <c r="G11" s="5"/>
      <c r="H11" s="5"/>
    </row>
    <row r="12" spans="1:8" ht="22" customHeight="1">
      <c r="A12" s="25" t="s">
        <v>22</v>
      </c>
      <c r="B12" s="2"/>
      <c r="C12" s="2"/>
      <c r="D12" s="2"/>
      <c r="E12" s="2"/>
      <c r="F12" s="2"/>
      <c r="G12" s="2"/>
      <c r="H12" s="2"/>
    </row>
    <row r="13" spans="1:8" ht="30" customHeight="1">
      <c r="A13" s="6" t="s">
        <v>23</v>
      </c>
      <c r="B13" s="6" t="s">
        <v>24</v>
      </c>
      <c r="C13" s="6" t="s">
        <v>25</v>
      </c>
      <c r="D13" s="6" t="s">
        <v>26</v>
      </c>
      <c r="E13" s="6" t="s">
        <v>27</v>
      </c>
      <c r="F13" s="6" t="s">
        <v>28</v>
      </c>
      <c r="G13" s="5"/>
      <c r="H13" s="5"/>
    </row>
    <row r="14" spans="1:8" ht="46" customHeight="1">
      <c r="A14" s="7" t="s">
        <v>29</v>
      </c>
      <c r="B14" s="7" t="s">
        <v>30</v>
      </c>
      <c r="C14" s="7" t="s">
        <v>31</v>
      </c>
      <c r="D14" s="7" t="s">
        <v>30</v>
      </c>
      <c r="E14" s="7" t="s">
        <v>32</v>
      </c>
      <c r="F14" s="7" t="s">
        <v>33</v>
      </c>
      <c r="G14" s="5"/>
      <c r="H14" s="5"/>
    </row>
    <row r="15" spans="1:8" ht="46" customHeight="1">
      <c r="A15" s="7" t="s">
        <v>34</v>
      </c>
      <c r="B15" s="29">
        <v>2</v>
      </c>
      <c r="C15" s="29">
        <v>5</v>
      </c>
      <c r="D15" s="7" t="str">
        <f>IF(B15&lt;=C15,"PASS","FAIL")</f>
        <v>PASS</v>
      </c>
      <c r="E15" s="7" t="s">
        <v>35</v>
      </c>
      <c r="F15" s="7" t="s">
        <v>33</v>
      </c>
      <c r="G15" s="5"/>
      <c r="H15" s="5"/>
    </row>
    <row r="16" spans="1:8" ht="46" customHeight="1">
      <c r="A16" s="7" t="s">
        <v>36</v>
      </c>
      <c r="B16" s="29">
        <v>-2</v>
      </c>
      <c r="C16" s="29">
        <v>2</v>
      </c>
      <c r="D16" s="7" t="str">
        <f t="shared" ref="D16:D22" si="0">IF(B16&gt;=C16,"PASS","FAIL")</f>
        <v>FAIL</v>
      </c>
      <c r="E16" s="7" t="s">
        <v>37</v>
      </c>
      <c r="F16" s="7" t="s">
        <v>33</v>
      </c>
      <c r="G16" s="5"/>
      <c r="H16" s="5"/>
    </row>
    <row r="17" spans="1:8" ht="46" customHeight="1">
      <c r="A17" s="7" t="s">
        <v>38</v>
      </c>
      <c r="B17" s="9">
        <v>-8.4979383973404765E-4</v>
      </c>
      <c r="C17" s="9">
        <v>0.01</v>
      </c>
      <c r="D17" s="7" t="str">
        <f t="shared" si="0"/>
        <v>FAIL</v>
      </c>
      <c r="E17" s="7" t="s">
        <v>39</v>
      </c>
      <c r="F17" s="7" t="s">
        <v>33</v>
      </c>
      <c r="G17" s="5"/>
      <c r="H17" s="5"/>
    </row>
    <row r="18" spans="1:8" ht="46" customHeight="1">
      <c r="A18" s="7" t="s">
        <v>40</v>
      </c>
      <c r="B18" s="9">
        <v>-4.6966228781248121E-2</v>
      </c>
      <c r="C18" s="9">
        <v>0.01</v>
      </c>
      <c r="D18" s="7" t="str">
        <f t="shared" si="0"/>
        <v>FAIL</v>
      </c>
      <c r="E18" s="7" t="s">
        <v>41</v>
      </c>
      <c r="F18" s="7" t="s">
        <v>33</v>
      </c>
      <c r="G18" s="5"/>
      <c r="H18" s="5"/>
    </row>
    <row r="19" spans="1:8" ht="46" customHeight="1">
      <c r="A19" s="7" t="s">
        <v>42</v>
      </c>
      <c r="B19" s="7">
        <v>2</v>
      </c>
      <c r="C19" s="7">
        <v>10</v>
      </c>
      <c r="D19" s="7" t="str">
        <f t="shared" si="0"/>
        <v>FAIL</v>
      </c>
      <c r="E19" s="7" t="s">
        <v>43</v>
      </c>
      <c r="F19" s="7" t="s">
        <v>44</v>
      </c>
      <c r="G19" s="5"/>
      <c r="H19" s="5"/>
    </row>
    <row r="20" spans="1:8" ht="46" customHeight="1">
      <c r="A20" s="7" t="s">
        <v>45</v>
      </c>
      <c r="B20" s="9">
        <v>-7.4433799999999994E-2</v>
      </c>
      <c r="C20" s="9">
        <v>0</v>
      </c>
      <c r="D20" s="7" t="str">
        <f t="shared" si="0"/>
        <v>FAIL</v>
      </c>
      <c r="E20" s="7" t="s">
        <v>46</v>
      </c>
      <c r="F20" s="7" t="s">
        <v>44</v>
      </c>
      <c r="G20" s="5"/>
      <c r="H20" s="5"/>
    </row>
    <row r="21" spans="1:8" ht="46" customHeight="1">
      <c r="A21" s="7" t="s">
        <v>47</v>
      </c>
      <c r="B21" s="8">
        <v>-0.86547006838400931</v>
      </c>
      <c r="C21" s="8">
        <v>0</v>
      </c>
      <c r="D21" s="7" t="str">
        <f t="shared" si="0"/>
        <v>FAIL</v>
      </c>
      <c r="E21" s="7" t="s">
        <v>48</v>
      </c>
      <c r="F21" s="7" t="s">
        <v>44</v>
      </c>
      <c r="G21" s="5"/>
      <c r="H21" s="5"/>
    </row>
    <row r="22" spans="1:8" ht="46" customHeight="1">
      <c r="A22" s="7" t="s">
        <v>49</v>
      </c>
      <c r="B22" s="10">
        <v>1.8217396099101832</v>
      </c>
      <c r="C22" s="10">
        <v>1.5</v>
      </c>
      <c r="D22" s="7" t="str">
        <f t="shared" si="0"/>
        <v>PASS</v>
      </c>
      <c r="E22" s="7" t="s">
        <v>50</v>
      </c>
      <c r="F22" s="7" t="s">
        <v>51</v>
      </c>
      <c r="G22" s="5"/>
      <c r="H22" s="5"/>
    </row>
    <row r="23" spans="1:8" ht="19">
      <c r="A23" s="5"/>
      <c r="B23" s="5"/>
      <c r="C23" s="5"/>
      <c r="D23" s="5"/>
      <c r="E23" s="5"/>
      <c r="F23" s="5"/>
      <c r="G23" s="5"/>
      <c r="H23" s="5"/>
    </row>
    <row r="24" spans="1:8" ht="22" customHeight="1">
      <c r="A24" s="25" t="s">
        <v>52</v>
      </c>
      <c r="B24" s="2"/>
      <c r="C24" s="2"/>
      <c r="D24" s="2"/>
      <c r="E24" s="2"/>
      <c r="F24" s="2"/>
      <c r="G24" s="2"/>
      <c r="H24" s="2"/>
    </row>
    <row r="25" spans="1:8" ht="26" customHeight="1">
      <c r="A25" s="30" t="s">
        <v>53</v>
      </c>
      <c r="B25" s="30"/>
      <c r="C25" s="30"/>
      <c r="D25" s="30"/>
      <c r="E25" s="30"/>
      <c r="F25" s="30"/>
      <c r="G25" s="30"/>
      <c r="H25" s="30"/>
    </row>
    <row r="26" spans="1:8" ht="26" customHeight="1">
      <c r="A26" s="30" t="s">
        <v>54</v>
      </c>
      <c r="B26" s="30"/>
      <c r="C26" s="30"/>
      <c r="D26" s="30"/>
      <c r="E26" s="30"/>
      <c r="F26" s="30"/>
      <c r="G26" s="30"/>
      <c r="H26" s="30"/>
    </row>
    <row r="27" spans="1:8" ht="26" customHeight="1">
      <c r="A27" s="30" t="s">
        <v>55</v>
      </c>
      <c r="B27" s="30"/>
      <c r="C27" s="30"/>
      <c r="D27" s="30"/>
      <c r="E27" s="30"/>
      <c r="F27" s="30"/>
      <c r="G27" s="30"/>
      <c r="H27" s="30"/>
    </row>
    <row r="28" spans="1:8" ht="26" customHeight="1">
      <c r="A28" s="30" t="s">
        <v>56</v>
      </c>
      <c r="B28" s="30"/>
      <c r="C28" s="30"/>
      <c r="D28" s="30"/>
      <c r="E28" s="30"/>
      <c r="F28" s="30"/>
      <c r="G28" s="30"/>
      <c r="H28" s="30"/>
    </row>
  </sheetData>
  <mergeCells count="9">
    <mergeCell ref="A25:H25"/>
    <mergeCell ref="A26:H26"/>
    <mergeCell ref="A27:H27"/>
    <mergeCell ref="A28:H28"/>
    <mergeCell ref="A1:H1"/>
    <mergeCell ref="A2:H2"/>
    <mergeCell ref="A4:H4"/>
    <mergeCell ref="A12:H12"/>
    <mergeCell ref="A24:H24"/>
  </mergeCells>
  <conditionalFormatting sqref="D14:D22">
    <cfRule type="containsText" dxfId="5" priority="1" operator="containsText" text="PASS"/>
    <cfRule type="containsText" dxfId="4" priority="2" operator="containsText" text="FAIL"/>
    <cfRule type="containsText" dxfId="3" priority="4" operator="containsText" text="ACTIONABLE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showGridLines="0" tabSelected="1" topLeftCell="A5" zoomScale="150" workbookViewId="0">
      <selection activeCell="D11" sqref="D11"/>
    </sheetView>
  </sheetViews>
  <sheetFormatPr baseColWidth="10" defaultColWidth="8.83203125" defaultRowHeight="18"/>
  <cols>
    <col min="1" max="1" width="16" style="3" customWidth="1"/>
    <col min="2" max="2" width="23" style="3" customWidth="1"/>
    <col min="3" max="5" width="46.5" style="3" customWidth="1"/>
    <col min="6" max="6" width="54.1640625" style="3" customWidth="1"/>
    <col min="7" max="7" width="28" style="3" customWidth="1"/>
    <col min="8" max="8" width="16" style="3" customWidth="1"/>
    <col min="9" max="16384" width="8.83203125" style="3"/>
  </cols>
  <sheetData>
    <row r="1" spans="1:8" ht="28" customHeight="1">
      <c r="A1" s="1" t="s">
        <v>57</v>
      </c>
      <c r="B1" s="2"/>
      <c r="C1" s="2"/>
      <c r="D1" s="2"/>
      <c r="E1" s="2"/>
      <c r="F1" s="2"/>
      <c r="G1" s="2"/>
      <c r="H1" s="2"/>
    </row>
    <row r="2" spans="1:8" ht="32" customHeight="1">
      <c r="A2" s="4" t="s">
        <v>58</v>
      </c>
      <c r="B2" s="2"/>
      <c r="C2" s="2"/>
      <c r="D2" s="2"/>
      <c r="E2" s="2"/>
      <c r="F2" s="2"/>
      <c r="G2" s="2"/>
      <c r="H2" s="2"/>
    </row>
    <row r="3" spans="1:8" ht="19">
      <c r="A3" s="5"/>
      <c r="B3" s="5"/>
      <c r="C3" s="5"/>
      <c r="D3" s="5"/>
      <c r="E3" s="5"/>
      <c r="F3" s="5"/>
      <c r="G3" s="5"/>
      <c r="H3" s="5"/>
    </row>
    <row r="4" spans="1:8" ht="30" customHeight="1">
      <c r="A4" s="15" t="s">
        <v>59</v>
      </c>
      <c r="B4" s="15" t="s">
        <v>60</v>
      </c>
      <c r="C4" s="15" t="s">
        <v>61</v>
      </c>
      <c r="D4" s="15" t="s">
        <v>62</v>
      </c>
      <c r="E4" s="15" t="s">
        <v>63</v>
      </c>
      <c r="F4" s="15" t="s">
        <v>64</v>
      </c>
      <c r="G4" s="15" t="s">
        <v>65</v>
      </c>
      <c r="H4" s="15" t="s">
        <v>66</v>
      </c>
    </row>
    <row r="5" spans="1:8" ht="42" customHeight="1">
      <c r="A5" s="23" t="s">
        <v>67</v>
      </c>
      <c r="B5" s="16" t="s">
        <v>68</v>
      </c>
      <c r="C5" s="16" t="s">
        <v>69</v>
      </c>
      <c r="D5" s="16" t="s">
        <v>70</v>
      </c>
      <c r="E5" s="16" t="s">
        <v>71</v>
      </c>
      <c r="F5" s="16" t="s">
        <v>72</v>
      </c>
      <c r="G5" s="16" t="s">
        <v>73</v>
      </c>
      <c r="H5" s="16" t="s">
        <v>74</v>
      </c>
    </row>
    <row r="6" spans="1:8" ht="42" customHeight="1">
      <c r="A6" s="23" t="s">
        <v>67</v>
      </c>
      <c r="B6" s="16" t="s">
        <v>75</v>
      </c>
      <c r="C6" s="16" t="s">
        <v>76</v>
      </c>
      <c r="D6" s="16" t="s">
        <v>77</v>
      </c>
      <c r="E6" s="16" t="s">
        <v>78</v>
      </c>
      <c r="F6" s="16" t="s">
        <v>79</v>
      </c>
      <c r="G6" s="16" t="s">
        <v>80</v>
      </c>
      <c r="H6" s="16" t="s">
        <v>81</v>
      </c>
    </row>
    <row r="7" spans="1:8" ht="42" customHeight="1">
      <c r="A7" s="23" t="s">
        <v>13</v>
      </c>
      <c r="B7" s="16" t="s">
        <v>82</v>
      </c>
      <c r="C7" s="16" t="s">
        <v>83</v>
      </c>
      <c r="D7" s="16" t="s">
        <v>84</v>
      </c>
      <c r="E7" s="16" t="s">
        <v>85</v>
      </c>
      <c r="F7" s="16" t="s">
        <v>86</v>
      </c>
      <c r="G7" s="16" t="s">
        <v>73</v>
      </c>
      <c r="H7" s="16" t="s">
        <v>74</v>
      </c>
    </row>
    <row r="8" spans="1:8" ht="42" customHeight="1">
      <c r="A8" s="23" t="s">
        <v>13</v>
      </c>
      <c r="B8" s="16" t="s">
        <v>87</v>
      </c>
      <c r="C8" s="16" t="s">
        <v>88</v>
      </c>
      <c r="D8" s="16" t="s">
        <v>89</v>
      </c>
      <c r="E8" s="16" t="s">
        <v>90</v>
      </c>
      <c r="F8" s="16" t="s">
        <v>91</v>
      </c>
      <c r="G8" s="16" t="s">
        <v>44</v>
      </c>
      <c r="H8" s="16" t="s">
        <v>81</v>
      </c>
    </row>
    <row r="9" spans="1:8" ht="42" customHeight="1">
      <c r="A9" s="23" t="s">
        <v>13</v>
      </c>
      <c r="B9" s="16" t="s">
        <v>92</v>
      </c>
      <c r="C9" s="16" t="s">
        <v>93</v>
      </c>
      <c r="D9" s="16" t="s">
        <v>94</v>
      </c>
      <c r="E9" s="16" t="s">
        <v>95</v>
      </c>
      <c r="F9" s="16" t="s">
        <v>96</v>
      </c>
      <c r="G9" s="16" t="s">
        <v>73</v>
      </c>
      <c r="H9" s="16" t="s">
        <v>97</v>
      </c>
    </row>
    <row r="10" spans="1:8" ht="42" customHeight="1">
      <c r="A10" s="23" t="s">
        <v>13</v>
      </c>
      <c r="B10" s="16" t="s">
        <v>98</v>
      </c>
      <c r="C10" s="16" t="s">
        <v>99</v>
      </c>
      <c r="D10" s="16" t="s">
        <v>100</v>
      </c>
      <c r="E10" s="16" t="s">
        <v>101</v>
      </c>
      <c r="F10" s="16" t="s">
        <v>102</v>
      </c>
      <c r="G10" s="16" t="s">
        <v>73</v>
      </c>
      <c r="H10" s="16" t="s">
        <v>103</v>
      </c>
    </row>
    <row r="11" spans="1:8" ht="42" customHeight="1">
      <c r="A11" s="23" t="s">
        <v>13</v>
      </c>
      <c r="B11" s="16" t="s">
        <v>104</v>
      </c>
      <c r="C11" s="16" t="s">
        <v>105</v>
      </c>
      <c r="D11" s="16" t="s">
        <v>106</v>
      </c>
      <c r="E11" s="16" t="s">
        <v>107</v>
      </c>
      <c r="F11" s="16" t="s">
        <v>108</v>
      </c>
      <c r="G11" s="16" t="s">
        <v>73</v>
      </c>
      <c r="H11" s="16" t="s">
        <v>74</v>
      </c>
    </row>
    <row r="12" spans="1:8" ht="42" customHeight="1">
      <c r="A12" s="23" t="s">
        <v>13</v>
      </c>
      <c r="B12" s="16" t="s">
        <v>109</v>
      </c>
      <c r="C12" s="16" t="s">
        <v>110</v>
      </c>
      <c r="D12" s="16" t="s">
        <v>111</v>
      </c>
      <c r="E12" s="16" t="s">
        <v>112</v>
      </c>
      <c r="F12" s="16" t="s">
        <v>113</v>
      </c>
      <c r="G12" s="16" t="s">
        <v>73</v>
      </c>
      <c r="H12" s="16" t="s">
        <v>114</v>
      </c>
    </row>
    <row r="13" spans="1:8" ht="42" customHeight="1">
      <c r="A13" s="23" t="s">
        <v>13</v>
      </c>
      <c r="B13" s="16" t="s">
        <v>115</v>
      </c>
      <c r="C13" s="16" t="s">
        <v>116</v>
      </c>
      <c r="D13" s="16" t="s">
        <v>117</v>
      </c>
      <c r="E13" s="16" t="s">
        <v>118</v>
      </c>
      <c r="F13" s="16" t="s">
        <v>119</v>
      </c>
      <c r="G13" s="16" t="s">
        <v>73</v>
      </c>
      <c r="H13" s="16" t="s">
        <v>120</v>
      </c>
    </row>
    <row r="14" spans="1:8" ht="42" customHeight="1">
      <c r="A14" s="23" t="s">
        <v>13</v>
      </c>
      <c r="B14" s="16" t="s">
        <v>121</v>
      </c>
      <c r="C14" s="16" t="s">
        <v>122</v>
      </c>
      <c r="D14" s="16" t="s">
        <v>123</v>
      </c>
      <c r="E14" s="16" t="s">
        <v>124</v>
      </c>
      <c r="F14" s="16" t="s">
        <v>125</v>
      </c>
      <c r="G14" s="16" t="s">
        <v>73</v>
      </c>
      <c r="H14" s="16" t="s">
        <v>126</v>
      </c>
    </row>
    <row r="15" spans="1:8" ht="42" customHeight="1">
      <c r="A15" s="23" t="s">
        <v>13</v>
      </c>
      <c r="B15" s="16" t="s">
        <v>127</v>
      </c>
      <c r="C15" s="16" t="s">
        <v>128</v>
      </c>
      <c r="D15" s="16" t="s">
        <v>129</v>
      </c>
      <c r="E15" s="16" t="s">
        <v>130</v>
      </c>
      <c r="F15" s="16" t="s">
        <v>131</v>
      </c>
      <c r="G15" s="16" t="s">
        <v>73</v>
      </c>
      <c r="H15" s="16" t="s">
        <v>97</v>
      </c>
    </row>
    <row r="16" spans="1:8" ht="42" customHeight="1">
      <c r="A16" s="23" t="s">
        <v>132</v>
      </c>
      <c r="B16" s="16" t="s">
        <v>133</v>
      </c>
      <c r="C16" s="16" t="s">
        <v>134</v>
      </c>
      <c r="D16" s="16" t="s">
        <v>135</v>
      </c>
      <c r="E16" s="16" t="s">
        <v>136</v>
      </c>
      <c r="F16" s="16" t="s">
        <v>137</v>
      </c>
      <c r="G16" s="16" t="s">
        <v>73</v>
      </c>
      <c r="H16" s="16" t="s">
        <v>138</v>
      </c>
    </row>
    <row r="17" spans="1:8" ht="42" customHeight="1">
      <c r="A17" s="23" t="s">
        <v>132</v>
      </c>
      <c r="B17" s="16" t="s">
        <v>139</v>
      </c>
      <c r="C17" s="16" t="s">
        <v>140</v>
      </c>
      <c r="D17" s="16" t="s">
        <v>141</v>
      </c>
      <c r="E17" s="16" t="s">
        <v>142</v>
      </c>
      <c r="F17" s="16" t="s">
        <v>143</v>
      </c>
      <c r="G17" s="16" t="s">
        <v>80</v>
      </c>
      <c r="H17" s="16" t="s">
        <v>144</v>
      </c>
    </row>
    <row r="18" spans="1:8" ht="42" customHeight="1">
      <c r="A18" s="23" t="s">
        <v>132</v>
      </c>
      <c r="B18" s="16" t="s">
        <v>145</v>
      </c>
      <c r="C18" s="16" t="s">
        <v>146</v>
      </c>
      <c r="D18" s="16" t="s">
        <v>147</v>
      </c>
      <c r="E18" s="16" t="s">
        <v>148</v>
      </c>
      <c r="F18" s="16" t="s">
        <v>149</v>
      </c>
      <c r="G18" s="16" t="s">
        <v>73</v>
      </c>
      <c r="H18" s="16" t="s">
        <v>150</v>
      </c>
    </row>
    <row r="19" spans="1:8" ht="42" customHeight="1">
      <c r="A19" s="23" t="s">
        <v>151</v>
      </c>
      <c r="B19" s="16" t="s">
        <v>152</v>
      </c>
      <c r="C19" s="16" t="s">
        <v>153</v>
      </c>
      <c r="D19" s="16" t="s">
        <v>154</v>
      </c>
      <c r="E19" s="16" t="s">
        <v>155</v>
      </c>
      <c r="F19" s="16" t="s">
        <v>156</v>
      </c>
      <c r="G19" s="16" t="s">
        <v>73</v>
      </c>
      <c r="H19" s="16" t="s">
        <v>74</v>
      </c>
    </row>
    <row r="20" spans="1:8" ht="42" customHeight="1">
      <c r="A20" s="23" t="s">
        <v>19</v>
      </c>
      <c r="B20" s="16" t="s">
        <v>157</v>
      </c>
      <c r="C20" s="16" t="s">
        <v>158</v>
      </c>
      <c r="D20" s="16" t="s">
        <v>159</v>
      </c>
      <c r="E20" s="16" t="s">
        <v>160</v>
      </c>
      <c r="F20" s="16" t="s">
        <v>161</v>
      </c>
      <c r="G20" s="16" t="s">
        <v>162</v>
      </c>
      <c r="H20" s="16" t="s">
        <v>81</v>
      </c>
    </row>
    <row r="21" spans="1:8" ht="42" customHeight="1">
      <c r="A21" s="23" t="s">
        <v>19</v>
      </c>
      <c r="B21" s="16" t="s">
        <v>163</v>
      </c>
      <c r="C21" s="16" t="s">
        <v>164</v>
      </c>
      <c r="D21" s="16" t="s">
        <v>165</v>
      </c>
      <c r="E21" s="16" t="s">
        <v>166</v>
      </c>
      <c r="F21" s="16" t="s">
        <v>167</v>
      </c>
      <c r="G21" s="16" t="s">
        <v>73</v>
      </c>
      <c r="H21" s="16" t="s">
        <v>81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showGridLines="0" workbookViewId="0">
      <selection activeCell="A6" sqref="A6:B17"/>
    </sheetView>
  </sheetViews>
  <sheetFormatPr baseColWidth="10" defaultColWidth="8.83203125" defaultRowHeight="18"/>
  <cols>
    <col min="1" max="1" width="15" style="12" customWidth="1"/>
    <col min="2" max="2" width="22" style="12" customWidth="1"/>
    <col min="3" max="3" width="16" style="12" customWidth="1"/>
    <col min="4" max="4" width="61.83203125" style="12" customWidth="1"/>
    <col min="5" max="5" width="46.1640625" style="12" customWidth="1"/>
    <col min="6" max="6" width="28" style="12" customWidth="1"/>
    <col min="7" max="7" width="36" style="12" customWidth="1"/>
    <col min="8" max="16384" width="8.83203125" style="12"/>
  </cols>
  <sheetData>
    <row r="1" spans="1:7" ht="28" customHeight="1">
      <c r="A1" s="1" t="s">
        <v>168</v>
      </c>
      <c r="B1" s="11"/>
      <c r="C1" s="11"/>
      <c r="D1" s="11"/>
      <c r="E1" s="11"/>
      <c r="F1" s="11"/>
      <c r="G1" s="11"/>
    </row>
    <row r="2" spans="1:7" ht="32" customHeight="1">
      <c r="A2" s="13" t="s">
        <v>169</v>
      </c>
      <c r="B2" s="11"/>
      <c r="C2" s="11"/>
      <c r="D2" s="11"/>
      <c r="E2" s="11"/>
      <c r="F2" s="11"/>
      <c r="G2" s="11"/>
    </row>
    <row r="3" spans="1:7" ht="19">
      <c r="A3" s="14"/>
      <c r="B3" s="14"/>
      <c r="C3" s="14"/>
      <c r="D3" s="14"/>
      <c r="E3" s="14"/>
      <c r="F3" s="14"/>
      <c r="G3" s="14"/>
    </row>
    <row r="4" spans="1:7" ht="30" customHeight="1">
      <c r="A4" s="15" t="s">
        <v>59</v>
      </c>
      <c r="B4" s="15" t="s">
        <v>23</v>
      </c>
      <c r="C4" s="15" t="s">
        <v>170</v>
      </c>
      <c r="D4" s="15" t="s">
        <v>171</v>
      </c>
      <c r="E4" s="15" t="s">
        <v>172</v>
      </c>
      <c r="F4" s="15" t="s">
        <v>173</v>
      </c>
      <c r="G4" s="15" t="s">
        <v>174</v>
      </c>
    </row>
    <row r="5" spans="1:7" ht="26" customHeight="1">
      <c r="A5" s="16" t="s">
        <v>67</v>
      </c>
      <c r="B5" s="16" t="s">
        <v>68</v>
      </c>
      <c r="C5" s="17">
        <v>17.149999999999999</v>
      </c>
      <c r="D5" s="16" t="s">
        <v>175</v>
      </c>
      <c r="E5" s="16" t="s">
        <v>176</v>
      </c>
      <c r="F5" s="16" t="s">
        <v>177</v>
      </c>
      <c r="G5" s="16" t="s">
        <v>178</v>
      </c>
    </row>
    <row r="6" spans="1:7" ht="26" customHeight="1">
      <c r="A6" s="16" t="s">
        <v>179</v>
      </c>
      <c r="B6" s="16" t="s">
        <v>180</v>
      </c>
      <c r="C6" s="17">
        <v>17.732500000000002</v>
      </c>
      <c r="D6" s="16" t="s">
        <v>181</v>
      </c>
      <c r="E6" s="16" t="s">
        <v>182</v>
      </c>
      <c r="F6" s="16" t="s">
        <v>183</v>
      </c>
      <c r="G6" s="16" t="s">
        <v>184</v>
      </c>
    </row>
    <row r="7" spans="1:7" ht="26" customHeight="1">
      <c r="A7" s="16" t="s">
        <v>179</v>
      </c>
      <c r="B7" s="16" t="s">
        <v>185</v>
      </c>
      <c r="C7" s="17">
        <v>19.699166666666667</v>
      </c>
      <c r="D7" s="16" t="s">
        <v>186</v>
      </c>
      <c r="E7" s="16" t="s">
        <v>187</v>
      </c>
      <c r="F7" s="16" t="s">
        <v>188</v>
      </c>
      <c r="G7" s="16" t="s">
        <v>189</v>
      </c>
    </row>
    <row r="8" spans="1:7" ht="26" customHeight="1">
      <c r="A8" s="16" t="s">
        <v>190</v>
      </c>
      <c r="B8" s="16" t="s">
        <v>92</v>
      </c>
      <c r="C8" s="18">
        <v>32.963724169124617</v>
      </c>
      <c r="D8" s="16" t="s">
        <v>191</v>
      </c>
      <c r="E8" s="16" t="s">
        <v>192</v>
      </c>
      <c r="F8" s="16" t="s">
        <v>193</v>
      </c>
      <c r="G8" s="16" t="s">
        <v>194</v>
      </c>
    </row>
    <row r="9" spans="1:7" ht="26" customHeight="1">
      <c r="A9" s="16" t="s">
        <v>190</v>
      </c>
      <c r="B9" s="16" t="s">
        <v>195</v>
      </c>
      <c r="C9" s="19">
        <v>-0.44670724187198729</v>
      </c>
      <c r="D9" s="16" t="s">
        <v>196</v>
      </c>
      <c r="E9" s="16" t="s">
        <v>197</v>
      </c>
      <c r="F9" s="16" t="s">
        <v>198</v>
      </c>
      <c r="G9" s="16" t="s">
        <v>199</v>
      </c>
    </row>
    <row r="10" spans="1:7" ht="26" customHeight="1">
      <c r="A10" s="16" t="s">
        <v>190</v>
      </c>
      <c r="B10" s="16" t="s">
        <v>200</v>
      </c>
      <c r="C10" s="19">
        <v>5.9733998892694151E-2</v>
      </c>
      <c r="D10" s="16" t="s">
        <v>201</v>
      </c>
      <c r="E10" s="16" t="s">
        <v>202</v>
      </c>
      <c r="F10" s="16" t="s">
        <v>203</v>
      </c>
      <c r="G10" s="16" t="s">
        <v>204</v>
      </c>
    </row>
    <row r="11" spans="1:7" ht="26" customHeight="1">
      <c r="A11" s="16" t="s">
        <v>205</v>
      </c>
      <c r="B11" s="16" t="s">
        <v>206</v>
      </c>
      <c r="C11" s="20">
        <v>3.3230185120323198E-2</v>
      </c>
      <c r="D11" s="16" t="s">
        <v>207</v>
      </c>
      <c r="E11" s="16" t="s">
        <v>208</v>
      </c>
      <c r="F11" s="16" t="s">
        <v>209</v>
      </c>
      <c r="G11" s="16" t="s">
        <v>210</v>
      </c>
    </row>
    <row r="12" spans="1:7" ht="26" customHeight="1">
      <c r="A12" s="16" t="s">
        <v>179</v>
      </c>
      <c r="B12" s="16" t="s">
        <v>211</v>
      </c>
      <c r="C12" s="18">
        <v>36.577608891341043</v>
      </c>
      <c r="D12" s="16" t="s">
        <v>212</v>
      </c>
      <c r="E12" s="16" t="s">
        <v>213</v>
      </c>
      <c r="F12" s="16" t="s">
        <v>214</v>
      </c>
      <c r="G12" s="16" t="s">
        <v>215</v>
      </c>
    </row>
    <row r="13" spans="1:7" ht="26" customHeight="1">
      <c r="A13" s="16" t="s">
        <v>179</v>
      </c>
      <c r="B13" s="16" t="s">
        <v>216</v>
      </c>
      <c r="C13" s="21" t="s">
        <v>217</v>
      </c>
      <c r="D13" s="16" t="s">
        <v>218</v>
      </c>
      <c r="E13" s="16" t="s">
        <v>219</v>
      </c>
      <c r="F13" s="16" t="s">
        <v>220</v>
      </c>
      <c r="G13" s="16" t="s">
        <v>221</v>
      </c>
    </row>
    <row r="14" spans="1:7" ht="26" customHeight="1">
      <c r="A14" s="16" t="s">
        <v>222</v>
      </c>
      <c r="B14" s="16" t="s">
        <v>223</v>
      </c>
      <c r="C14" s="17">
        <v>0.18483085748320024</v>
      </c>
      <c r="D14" s="16" t="s">
        <v>224</v>
      </c>
      <c r="E14" s="16" t="s">
        <v>225</v>
      </c>
      <c r="F14" s="16" t="s">
        <v>226</v>
      </c>
      <c r="G14" s="16" t="s">
        <v>227</v>
      </c>
    </row>
    <row r="15" spans="1:7" ht="26" customHeight="1">
      <c r="A15" s="16" t="s">
        <v>228</v>
      </c>
      <c r="B15" s="16" t="s">
        <v>133</v>
      </c>
      <c r="C15" s="22">
        <v>0.796417721922552</v>
      </c>
      <c r="D15" s="16" t="s">
        <v>229</v>
      </c>
      <c r="E15" s="16" t="s">
        <v>230</v>
      </c>
      <c r="F15" s="16" t="s">
        <v>231</v>
      </c>
      <c r="G15" s="16" t="s">
        <v>232</v>
      </c>
    </row>
    <row r="16" spans="1:7" ht="26" customHeight="1">
      <c r="A16" s="16" t="s">
        <v>233</v>
      </c>
      <c r="B16" s="16" t="s">
        <v>157</v>
      </c>
      <c r="C16" s="20">
        <v>-0.5702236890355703</v>
      </c>
      <c r="D16" s="16" t="s">
        <v>234</v>
      </c>
      <c r="E16" s="16" t="s">
        <v>235</v>
      </c>
      <c r="F16" s="16" t="s">
        <v>236</v>
      </c>
      <c r="G16" s="16" t="s">
        <v>237</v>
      </c>
    </row>
    <row r="17" spans="1:7" ht="26" customHeight="1">
      <c r="A17" s="16" t="s">
        <v>233</v>
      </c>
      <c r="B17" s="16" t="s">
        <v>238</v>
      </c>
      <c r="C17" s="20">
        <v>-3.0045325139857575E-2</v>
      </c>
      <c r="D17" s="16" t="s">
        <v>239</v>
      </c>
      <c r="E17" s="16" t="s">
        <v>240</v>
      </c>
      <c r="F17" s="16" t="s">
        <v>241</v>
      </c>
      <c r="G17" s="16" t="s">
        <v>242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"/>
  <sheetViews>
    <sheetView showGridLines="0" topLeftCell="A9" zoomScale="89" workbookViewId="0">
      <selection activeCell="C8" sqref="C8"/>
    </sheetView>
  </sheetViews>
  <sheetFormatPr baseColWidth="10" defaultColWidth="8.83203125" defaultRowHeight="18"/>
  <cols>
    <col min="1" max="1" width="16" style="3" customWidth="1"/>
    <col min="2" max="2" width="27.6640625" style="3" customWidth="1"/>
    <col min="3" max="3" width="64.1640625" style="3" customWidth="1"/>
    <col min="4" max="6" width="50.1640625" style="3" customWidth="1"/>
    <col min="7" max="8" width="37.5" style="3" customWidth="1"/>
    <col min="9" max="16384" width="8.83203125" style="3"/>
  </cols>
  <sheetData>
    <row r="1" spans="1:8" ht="28" customHeight="1">
      <c r="A1" s="1" t="s">
        <v>243</v>
      </c>
      <c r="B1" s="2"/>
      <c r="C1" s="2"/>
      <c r="D1" s="2"/>
      <c r="E1" s="2"/>
      <c r="F1" s="2"/>
      <c r="G1" s="2"/>
      <c r="H1" s="2"/>
    </row>
    <row r="2" spans="1:8" ht="32" customHeight="1">
      <c r="A2" s="4" t="s">
        <v>244</v>
      </c>
      <c r="B2" s="2"/>
      <c r="C2" s="2"/>
      <c r="D2" s="2"/>
      <c r="E2" s="2"/>
      <c r="F2" s="2"/>
      <c r="G2" s="2"/>
      <c r="H2" s="2"/>
    </row>
    <row r="3" spans="1:8" ht="19">
      <c r="A3" s="5"/>
      <c r="B3" s="5"/>
      <c r="C3" s="5"/>
      <c r="D3" s="5"/>
      <c r="E3" s="5"/>
      <c r="F3" s="5"/>
      <c r="G3" s="5"/>
      <c r="H3" s="5"/>
    </row>
    <row r="4" spans="1:8" ht="30" customHeight="1">
      <c r="A4" s="15" t="s">
        <v>59</v>
      </c>
      <c r="B4" s="15" t="s">
        <v>23</v>
      </c>
      <c r="C4" s="15" t="s">
        <v>245</v>
      </c>
      <c r="D4" s="15" t="s">
        <v>246</v>
      </c>
      <c r="E4" s="15" t="s">
        <v>63</v>
      </c>
      <c r="F4" s="15" t="s">
        <v>247</v>
      </c>
      <c r="G4" s="15" t="s">
        <v>248</v>
      </c>
      <c r="H4" s="15" t="s">
        <v>66</v>
      </c>
    </row>
    <row r="5" spans="1:8" ht="59" customHeight="1">
      <c r="A5" s="23" t="s">
        <v>249</v>
      </c>
      <c r="B5" s="16" t="s">
        <v>250</v>
      </c>
      <c r="C5" s="16" t="s">
        <v>251</v>
      </c>
      <c r="D5" s="16" t="s">
        <v>252</v>
      </c>
      <c r="E5" s="16" t="s">
        <v>253</v>
      </c>
      <c r="F5" s="16" t="s">
        <v>254</v>
      </c>
      <c r="G5" s="16" t="s">
        <v>44</v>
      </c>
      <c r="H5" s="16" t="s">
        <v>81</v>
      </c>
    </row>
    <row r="6" spans="1:8" ht="59" customHeight="1">
      <c r="A6" s="23" t="s">
        <v>255</v>
      </c>
      <c r="B6" s="16" t="s">
        <v>256</v>
      </c>
      <c r="C6" s="16" t="s">
        <v>257</v>
      </c>
      <c r="D6" s="16" t="s">
        <v>258</v>
      </c>
      <c r="E6" s="16" t="s">
        <v>259</v>
      </c>
      <c r="F6" s="16" t="s">
        <v>260</v>
      </c>
      <c r="G6" s="16" t="s">
        <v>44</v>
      </c>
      <c r="H6" s="16" t="s">
        <v>261</v>
      </c>
    </row>
    <row r="7" spans="1:8" ht="59" customHeight="1">
      <c r="A7" s="23" t="s">
        <v>255</v>
      </c>
      <c r="B7" s="16" t="s">
        <v>262</v>
      </c>
      <c r="C7" s="16" t="s">
        <v>263</v>
      </c>
      <c r="D7" s="16" t="s">
        <v>264</v>
      </c>
      <c r="E7" s="16" t="s">
        <v>265</v>
      </c>
      <c r="F7" s="16" t="s">
        <v>266</v>
      </c>
      <c r="G7" s="16" t="s">
        <v>44</v>
      </c>
      <c r="H7" s="16" t="s">
        <v>261</v>
      </c>
    </row>
    <row r="8" spans="1:8" ht="59" customHeight="1">
      <c r="A8" s="23" t="s">
        <v>267</v>
      </c>
      <c r="B8" s="16" t="s">
        <v>268</v>
      </c>
      <c r="C8" s="16" t="s">
        <v>269</v>
      </c>
      <c r="D8" s="16" t="s">
        <v>270</v>
      </c>
      <c r="E8" s="16" t="s">
        <v>271</v>
      </c>
      <c r="F8" s="16" t="s">
        <v>272</v>
      </c>
      <c r="G8" s="16" t="s">
        <v>44</v>
      </c>
      <c r="H8" s="16" t="s">
        <v>81</v>
      </c>
    </row>
    <row r="9" spans="1:8" ht="59" customHeight="1">
      <c r="A9" s="23" t="s">
        <v>267</v>
      </c>
      <c r="B9" s="16" t="s">
        <v>273</v>
      </c>
      <c r="C9" s="16" t="s">
        <v>274</v>
      </c>
      <c r="D9" s="16" t="s">
        <v>275</v>
      </c>
      <c r="E9" s="16" t="s">
        <v>271</v>
      </c>
      <c r="F9" s="16" t="s">
        <v>276</v>
      </c>
      <c r="G9" s="16" t="s">
        <v>44</v>
      </c>
      <c r="H9" s="16" t="s">
        <v>81</v>
      </c>
    </row>
    <row r="10" spans="1:8" ht="59" customHeight="1">
      <c r="A10" s="23" t="s">
        <v>267</v>
      </c>
      <c r="B10" s="16" t="s">
        <v>277</v>
      </c>
      <c r="C10" s="16" t="s">
        <v>278</v>
      </c>
      <c r="D10" s="16" t="s">
        <v>279</v>
      </c>
      <c r="E10" s="16" t="s">
        <v>280</v>
      </c>
      <c r="F10" s="16" t="s">
        <v>281</v>
      </c>
      <c r="G10" s="16" t="s">
        <v>44</v>
      </c>
      <c r="H10" s="16" t="s">
        <v>81</v>
      </c>
    </row>
    <row r="11" spans="1:8" ht="59" customHeight="1">
      <c r="A11" s="23" t="s">
        <v>267</v>
      </c>
      <c r="B11" s="16" t="s">
        <v>282</v>
      </c>
      <c r="C11" s="16" t="s">
        <v>283</v>
      </c>
      <c r="D11" s="16" t="s">
        <v>284</v>
      </c>
      <c r="E11" s="16" t="s">
        <v>285</v>
      </c>
      <c r="F11" s="16" t="s">
        <v>286</v>
      </c>
      <c r="G11" s="16" t="s">
        <v>287</v>
      </c>
      <c r="H11" s="16" t="s">
        <v>288</v>
      </c>
    </row>
    <row r="12" spans="1:8" ht="59" customHeight="1">
      <c r="A12" s="23" t="s">
        <v>289</v>
      </c>
      <c r="B12" s="16" t="s">
        <v>290</v>
      </c>
      <c r="C12" s="16" t="s">
        <v>291</v>
      </c>
      <c r="D12" s="16" t="s">
        <v>292</v>
      </c>
      <c r="E12" s="16" t="s">
        <v>293</v>
      </c>
      <c r="F12" s="16" t="s">
        <v>294</v>
      </c>
      <c r="G12" s="16" t="s">
        <v>44</v>
      </c>
      <c r="H12" s="16" t="s">
        <v>81</v>
      </c>
    </row>
    <row r="13" spans="1:8" ht="59" customHeight="1">
      <c r="A13" s="23" t="s">
        <v>295</v>
      </c>
      <c r="B13" s="16" t="s">
        <v>296</v>
      </c>
      <c r="C13" s="16" t="s">
        <v>297</v>
      </c>
      <c r="D13" s="16" t="s">
        <v>298</v>
      </c>
      <c r="E13" s="16" t="s">
        <v>299</v>
      </c>
      <c r="F13" s="16" t="s">
        <v>300</v>
      </c>
      <c r="G13" s="16" t="s">
        <v>44</v>
      </c>
      <c r="H13" s="16" t="s">
        <v>81</v>
      </c>
    </row>
    <row r="14" spans="1:8" ht="59" customHeight="1">
      <c r="A14" s="23" t="s">
        <v>295</v>
      </c>
      <c r="B14" s="16" t="s">
        <v>301</v>
      </c>
      <c r="C14" s="16" t="s">
        <v>302</v>
      </c>
      <c r="D14" s="16" t="s">
        <v>303</v>
      </c>
      <c r="E14" s="16" t="s">
        <v>304</v>
      </c>
      <c r="F14" s="16" t="s">
        <v>305</v>
      </c>
      <c r="G14" s="16" t="s">
        <v>44</v>
      </c>
      <c r="H14" s="16" t="s">
        <v>81</v>
      </c>
    </row>
    <row r="15" spans="1:8" ht="59" customHeight="1">
      <c r="A15" s="23" t="s">
        <v>295</v>
      </c>
      <c r="B15" s="16" t="s">
        <v>306</v>
      </c>
      <c r="C15" s="16" t="s">
        <v>307</v>
      </c>
      <c r="D15" s="16" t="s">
        <v>308</v>
      </c>
      <c r="E15" s="16" t="s">
        <v>309</v>
      </c>
      <c r="F15" s="16" t="s">
        <v>310</v>
      </c>
      <c r="G15" s="16" t="s">
        <v>311</v>
      </c>
      <c r="H15" s="16" t="s">
        <v>312</v>
      </c>
    </row>
    <row r="16" spans="1:8" ht="59" customHeight="1">
      <c r="A16" s="23" t="s">
        <v>295</v>
      </c>
      <c r="B16" s="16" t="s">
        <v>157</v>
      </c>
      <c r="C16" s="16" t="s">
        <v>313</v>
      </c>
      <c r="D16" s="16" t="s">
        <v>314</v>
      </c>
      <c r="E16" s="16" t="s">
        <v>315</v>
      </c>
      <c r="F16" s="16" t="s">
        <v>316</v>
      </c>
      <c r="G16" s="16" t="s">
        <v>311</v>
      </c>
      <c r="H16" s="16" t="s">
        <v>81</v>
      </c>
    </row>
    <row r="17" spans="1:8" ht="59" customHeight="1">
      <c r="A17" s="23" t="s">
        <v>295</v>
      </c>
      <c r="B17" s="16" t="s">
        <v>317</v>
      </c>
      <c r="C17" s="16" t="s">
        <v>318</v>
      </c>
      <c r="D17" s="16" t="s">
        <v>319</v>
      </c>
      <c r="E17" s="16" t="s">
        <v>320</v>
      </c>
      <c r="F17" s="16" t="s">
        <v>321</v>
      </c>
      <c r="G17" s="16" t="s">
        <v>44</v>
      </c>
      <c r="H17" s="16" t="s">
        <v>322</v>
      </c>
    </row>
    <row r="18" spans="1:8" ht="59" customHeight="1">
      <c r="A18" s="23" t="s">
        <v>295</v>
      </c>
      <c r="B18" s="16" t="s">
        <v>323</v>
      </c>
      <c r="C18" s="16" t="s">
        <v>324</v>
      </c>
      <c r="D18" s="16" t="s">
        <v>325</v>
      </c>
      <c r="E18" s="16" t="s">
        <v>326</v>
      </c>
      <c r="F18" s="16" t="s">
        <v>327</v>
      </c>
      <c r="G18" s="16" t="s">
        <v>44</v>
      </c>
      <c r="H18" s="16" t="s">
        <v>81</v>
      </c>
    </row>
    <row r="19" spans="1:8" ht="59" customHeight="1">
      <c r="A19" s="23" t="s">
        <v>295</v>
      </c>
      <c r="B19" s="16" t="s">
        <v>328</v>
      </c>
      <c r="C19" s="16" t="s">
        <v>329</v>
      </c>
      <c r="D19" s="16" t="s">
        <v>330</v>
      </c>
      <c r="E19" s="16" t="s">
        <v>331</v>
      </c>
      <c r="F19" s="16" t="s">
        <v>332</v>
      </c>
      <c r="G19" s="16" t="s">
        <v>44</v>
      </c>
      <c r="H19" s="16" t="s">
        <v>138</v>
      </c>
    </row>
    <row r="20" spans="1:8" ht="59" customHeight="1">
      <c r="A20" s="23" t="s">
        <v>333</v>
      </c>
      <c r="B20" s="16" t="s">
        <v>334</v>
      </c>
      <c r="C20" s="16" t="s">
        <v>335</v>
      </c>
      <c r="D20" s="16" t="s">
        <v>336</v>
      </c>
      <c r="E20" s="16" t="s">
        <v>337</v>
      </c>
      <c r="F20" s="16" t="s">
        <v>338</v>
      </c>
      <c r="G20" s="16" t="s">
        <v>51</v>
      </c>
      <c r="H20" s="16" t="s">
        <v>339</v>
      </c>
    </row>
    <row r="21" spans="1:8" ht="59" customHeight="1">
      <c r="A21" s="23" t="s">
        <v>340</v>
      </c>
      <c r="B21" s="16" t="s">
        <v>341</v>
      </c>
      <c r="C21" s="16" t="s">
        <v>342</v>
      </c>
      <c r="D21" s="16" t="s">
        <v>343</v>
      </c>
      <c r="E21" s="16" t="s">
        <v>344</v>
      </c>
      <c r="F21" s="16" t="s">
        <v>345</v>
      </c>
      <c r="G21" s="16" t="s">
        <v>44</v>
      </c>
      <c r="H21" s="16" t="s">
        <v>346</v>
      </c>
    </row>
    <row r="22" spans="1:8" ht="59" customHeight="1">
      <c r="A22" s="23" t="s">
        <v>347</v>
      </c>
      <c r="B22" s="16" t="s">
        <v>348</v>
      </c>
      <c r="C22" s="16" t="s">
        <v>349</v>
      </c>
      <c r="D22" s="16" t="s">
        <v>350</v>
      </c>
      <c r="E22" s="16" t="s">
        <v>351</v>
      </c>
      <c r="F22" s="16" t="s">
        <v>352</v>
      </c>
      <c r="G22" s="16" t="s">
        <v>353</v>
      </c>
      <c r="H22" s="16" t="s">
        <v>312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showGridLines="0" topLeftCell="A8" workbookViewId="0">
      <selection activeCell="B9" sqref="B9"/>
    </sheetView>
  </sheetViews>
  <sheetFormatPr baseColWidth="10" defaultColWidth="8.83203125" defaultRowHeight="18"/>
  <cols>
    <col min="1" max="1" width="15" style="12" customWidth="1"/>
    <col min="2" max="5" width="43.1640625" style="12" customWidth="1"/>
    <col min="6" max="6" width="22" style="12" customWidth="1"/>
    <col min="7" max="7" width="32" style="12" customWidth="1"/>
    <col min="8" max="8" width="28" style="12" customWidth="1"/>
    <col min="9" max="16384" width="8.83203125" style="12"/>
  </cols>
  <sheetData>
    <row r="1" spans="1:8" ht="28" customHeight="1">
      <c r="A1" s="1" t="s">
        <v>354</v>
      </c>
      <c r="B1" s="11"/>
      <c r="C1" s="11"/>
      <c r="D1" s="11"/>
      <c r="E1" s="11"/>
      <c r="F1" s="11"/>
      <c r="G1" s="11"/>
      <c r="H1" s="11"/>
    </row>
    <row r="2" spans="1:8" ht="32" customHeight="1">
      <c r="A2" s="13" t="s">
        <v>355</v>
      </c>
      <c r="B2" s="11"/>
      <c r="C2" s="11"/>
      <c r="D2" s="11"/>
      <c r="E2" s="11"/>
      <c r="F2" s="11"/>
      <c r="G2" s="11"/>
      <c r="H2" s="11"/>
    </row>
    <row r="3" spans="1:8" ht="19">
      <c r="A3" s="14"/>
      <c r="B3" s="14"/>
      <c r="C3" s="14"/>
      <c r="D3" s="14"/>
      <c r="E3" s="14"/>
      <c r="F3" s="14"/>
      <c r="G3" s="14"/>
      <c r="H3" s="14"/>
    </row>
    <row r="4" spans="1:8" ht="30" customHeight="1">
      <c r="A4" s="15" t="s">
        <v>59</v>
      </c>
      <c r="B4" s="15" t="s">
        <v>356</v>
      </c>
      <c r="C4" s="15" t="s">
        <v>357</v>
      </c>
      <c r="D4" s="15" t="s">
        <v>358</v>
      </c>
      <c r="E4" s="15" t="s">
        <v>359</v>
      </c>
      <c r="F4" s="15" t="s">
        <v>360</v>
      </c>
      <c r="G4" s="15" t="s">
        <v>361</v>
      </c>
      <c r="H4" s="15" t="s">
        <v>362</v>
      </c>
    </row>
    <row r="5" spans="1:8" ht="55" customHeight="1">
      <c r="A5" s="16" t="s">
        <v>363</v>
      </c>
      <c r="B5" s="16" t="s">
        <v>364</v>
      </c>
      <c r="C5" s="16" t="s">
        <v>365</v>
      </c>
      <c r="D5" s="16" t="s">
        <v>366</v>
      </c>
      <c r="E5" s="16" t="s">
        <v>367</v>
      </c>
      <c r="F5" s="16" t="s">
        <v>30</v>
      </c>
      <c r="G5" s="16" t="s">
        <v>368</v>
      </c>
      <c r="H5" s="16" t="s">
        <v>369</v>
      </c>
    </row>
    <row r="6" spans="1:8" ht="55" customHeight="1">
      <c r="A6" s="16" t="s">
        <v>370</v>
      </c>
      <c r="B6" s="16" t="s">
        <v>371</v>
      </c>
      <c r="C6" s="16" t="s">
        <v>372</v>
      </c>
      <c r="D6" s="16" t="s">
        <v>373</v>
      </c>
      <c r="E6" s="16" t="s">
        <v>374</v>
      </c>
      <c r="F6" s="16">
        <v>2</v>
      </c>
      <c r="G6" s="16" t="s">
        <v>375</v>
      </c>
      <c r="H6" s="16" t="s">
        <v>33</v>
      </c>
    </row>
    <row r="7" spans="1:8" ht="55" customHeight="1">
      <c r="A7" s="16" t="s">
        <v>376</v>
      </c>
      <c r="B7" s="16" t="s">
        <v>377</v>
      </c>
      <c r="C7" s="16" t="s">
        <v>378</v>
      </c>
      <c r="D7" s="16" t="s">
        <v>379</v>
      </c>
      <c r="E7" s="16" t="s">
        <v>380</v>
      </c>
      <c r="F7" s="16">
        <v>-2</v>
      </c>
      <c r="G7" s="16" t="s">
        <v>381</v>
      </c>
      <c r="H7" s="16" t="s">
        <v>33</v>
      </c>
    </row>
    <row r="8" spans="1:8" ht="55" customHeight="1">
      <c r="A8" s="16" t="s">
        <v>382</v>
      </c>
      <c r="B8" s="16" t="s">
        <v>383</v>
      </c>
      <c r="C8" s="16" t="s">
        <v>384</v>
      </c>
      <c r="D8" s="16" t="s">
        <v>385</v>
      </c>
      <c r="E8" s="16" t="s">
        <v>386</v>
      </c>
      <c r="F8" s="20">
        <v>-8.4979383973404765E-4</v>
      </c>
      <c r="G8" s="16" t="s">
        <v>387</v>
      </c>
      <c r="H8" s="16" t="s">
        <v>33</v>
      </c>
    </row>
    <row r="9" spans="1:8" ht="55" customHeight="1">
      <c r="A9" s="16" t="s">
        <v>382</v>
      </c>
      <c r="B9" s="16" t="s">
        <v>388</v>
      </c>
      <c r="C9" s="16" t="s">
        <v>389</v>
      </c>
      <c r="D9" s="16" t="s">
        <v>385</v>
      </c>
      <c r="E9" s="16" t="s">
        <v>390</v>
      </c>
      <c r="F9" s="20">
        <v>-4.6966228781248121E-2</v>
      </c>
      <c r="G9" s="16" t="s">
        <v>391</v>
      </c>
      <c r="H9" s="16" t="s">
        <v>33</v>
      </c>
    </row>
    <row r="10" spans="1:8" ht="55" customHeight="1">
      <c r="A10" s="16" t="s">
        <v>392</v>
      </c>
      <c r="B10" s="16" t="s">
        <v>393</v>
      </c>
      <c r="C10" s="16" t="s">
        <v>394</v>
      </c>
      <c r="D10" s="16" t="s">
        <v>395</v>
      </c>
      <c r="E10" s="16" t="s">
        <v>396</v>
      </c>
      <c r="F10" s="16">
        <v>2</v>
      </c>
      <c r="G10" s="16" t="s">
        <v>397</v>
      </c>
      <c r="H10" s="16" t="s">
        <v>33</v>
      </c>
    </row>
    <row r="11" spans="1:8" ht="55" customHeight="1">
      <c r="A11" s="16" t="s">
        <v>398</v>
      </c>
      <c r="B11" s="16" t="s">
        <v>399</v>
      </c>
      <c r="C11" s="16" t="s">
        <v>400</v>
      </c>
      <c r="D11" s="16" t="s">
        <v>401</v>
      </c>
      <c r="E11" s="16" t="s">
        <v>402</v>
      </c>
      <c r="F11" s="24" t="s">
        <v>403</v>
      </c>
      <c r="G11" s="16" t="s">
        <v>404</v>
      </c>
      <c r="H11" s="16" t="s">
        <v>33</v>
      </c>
    </row>
    <row r="12" spans="1:8" ht="55" customHeight="1">
      <c r="A12" s="16" t="s">
        <v>405</v>
      </c>
      <c r="B12" s="16" t="s">
        <v>406</v>
      </c>
      <c r="C12" s="16" t="s">
        <v>407</v>
      </c>
      <c r="D12" s="16" t="s">
        <v>408</v>
      </c>
      <c r="E12" s="16" t="s">
        <v>409</v>
      </c>
      <c r="F12" s="16" t="s">
        <v>410</v>
      </c>
      <c r="G12" s="16" t="s">
        <v>411</v>
      </c>
      <c r="H12" s="16" t="s">
        <v>33</v>
      </c>
    </row>
    <row r="13" spans="1:8" ht="55" customHeight="1">
      <c r="A13" s="16" t="s">
        <v>412</v>
      </c>
      <c r="B13" s="16" t="s">
        <v>413</v>
      </c>
      <c r="C13" s="16" t="s">
        <v>414</v>
      </c>
      <c r="D13" s="16" t="s">
        <v>415</v>
      </c>
      <c r="E13" s="16" t="s">
        <v>416</v>
      </c>
      <c r="F13" s="16" t="s">
        <v>417</v>
      </c>
      <c r="G13" s="16" t="s">
        <v>418</v>
      </c>
      <c r="H13" s="16" t="s">
        <v>51</v>
      </c>
    </row>
    <row r="14" spans="1:8" ht="55" customHeight="1">
      <c r="A14" s="16" t="s">
        <v>412</v>
      </c>
      <c r="B14" s="16" t="s">
        <v>419</v>
      </c>
      <c r="C14" s="16" t="s">
        <v>420</v>
      </c>
      <c r="D14" s="16" t="s">
        <v>421</v>
      </c>
      <c r="E14" s="16" t="s">
        <v>422</v>
      </c>
      <c r="F14" s="22" t="s">
        <v>423</v>
      </c>
      <c r="G14" s="16" t="s">
        <v>424</v>
      </c>
      <c r="H14" s="16" t="s">
        <v>51</v>
      </c>
    </row>
    <row r="15" spans="1:8" ht="55" customHeight="1">
      <c r="A15" s="16" t="s">
        <v>412</v>
      </c>
      <c r="B15" s="16" t="s">
        <v>425</v>
      </c>
      <c r="C15" s="16" t="s">
        <v>426</v>
      </c>
      <c r="D15" s="16" t="s">
        <v>427</v>
      </c>
      <c r="E15" s="16" t="s">
        <v>428</v>
      </c>
      <c r="F15" s="16" t="s">
        <v>429</v>
      </c>
      <c r="G15" s="16" t="s">
        <v>430</v>
      </c>
      <c r="H15" s="16" t="s">
        <v>51</v>
      </c>
    </row>
    <row r="16" spans="1:8" ht="55" customHeight="1">
      <c r="A16" s="16" t="s">
        <v>412</v>
      </c>
      <c r="B16" s="16" t="s">
        <v>49</v>
      </c>
      <c r="C16" s="16" t="s">
        <v>431</v>
      </c>
      <c r="D16" s="16" t="s">
        <v>432</v>
      </c>
      <c r="E16" s="16" t="s">
        <v>433</v>
      </c>
      <c r="F16" s="16">
        <v>1.8217396099101832</v>
      </c>
      <c r="G16" s="16" t="s">
        <v>434</v>
      </c>
      <c r="H16" s="16" t="s">
        <v>51</v>
      </c>
    </row>
    <row r="17" spans="1:8" ht="55" customHeight="1">
      <c r="A17" s="16" t="s">
        <v>435</v>
      </c>
      <c r="B17" s="16" t="s">
        <v>436</v>
      </c>
      <c r="C17" s="16" t="s">
        <v>437</v>
      </c>
      <c r="D17" s="16" t="s">
        <v>415</v>
      </c>
      <c r="E17" s="16" t="s">
        <v>438</v>
      </c>
      <c r="F17" s="16" t="s">
        <v>415</v>
      </c>
      <c r="G17" s="16" t="s">
        <v>439</v>
      </c>
      <c r="H17" s="16" t="s">
        <v>51</v>
      </c>
    </row>
    <row r="18" spans="1:8" ht="55" customHeight="1">
      <c r="A18" s="16" t="s">
        <v>440</v>
      </c>
      <c r="B18" s="16" t="s">
        <v>441</v>
      </c>
      <c r="C18" s="16" t="s">
        <v>442</v>
      </c>
      <c r="D18" s="16" t="s">
        <v>443</v>
      </c>
      <c r="E18" s="16" t="s">
        <v>444</v>
      </c>
      <c r="F18" s="16" t="s">
        <v>443</v>
      </c>
      <c r="G18" s="16" t="s">
        <v>445</v>
      </c>
      <c r="H18" s="16" t="s">
        <v>51</v>
      </c>
    </row>
  </sheetData>
  <mergeCells count="2">
    <mergeCell ref="A1:H1"/>
    <mergeCell ref="A2:H2"/>
  </mergeCells>
  <conditionalFormatting sqref="F5">
    <cfRule type="containsText" dxfId="2" priority="1" operator="containsText" text="PASS"/>
    <cfRule type="containsText" dxfId="1" priority="2" operator="containsText" text="FAIL"/>
    <cfRule type="containsText" dxfId="0" priority="4" operator="containsText" text="ACTIONABLE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showGridLines="0" workbookViewId="0">
      <selection activeCell="B22" sqref="B22"/>
    </sheetView>
  </sheetViews>
  <sheetFormatPr baseColWidth="10" defaultColWidth="8.83203125" defaultRowHeight="18"/>
  <cols>
    <col min="1" max="1" width="20" style="12" customWidth="1"/>
    <col min="2" max="2" width="48" style="12" customWidth="1"/>
    <col min="3" max="7" width="46.6640625" style="12" customWidth="1"/>
    <col min="8" max="16384" width="8.83203125" style="12"/>
  </cols>
  <sheetData>
    <row r="1" spans="1:7" ht="28" customHeight="1">
      <c r="A1" s="1" t="s">
        <v>446</v>
      </c>
      <c r="B1" s="11"/>
      <c r="C1" s="11"/>
      <c r="D1" s="11"/>
      <c r="E1" s="11"/>
      <c r="F1" s="11"/>
      <c r="G1" s="11"/>
    </row>
    <row r="2" spans="1:7" ht="32" customHeight="1">
      <c r="A2" s="13" t="s">
        <v>447</v>
      </c>
      <c r="B2" s="11"/>
      <c r="C2" s="11"/>
      <c r="D2" s="11"/>
      <c r="E2" s="11"/>
      <c r="F2" s="11"/>
      <c r="G2" s="11"/>
    </row>
    <row r="3" spans="1:7" ht="19">
      <c r="A3" s="14"/>
      <c r="B3" s="14"/>
      <c r="C3" s="14"/>
      <c r="D3" s="14"/>
      <c r="E3" s="14"/>
      <c r="F3" s="14"/>
      <c r="G3" s="14"/>
    </row>
    <row r="4" spans="1:7" ht="30" customHeight="1">
      <c r="A4" s="15" t="s">
        <v>448</v>
      </c>
      <c r="B4" s="15" t="s">
        <v>449</v>
      </c>
      <c r="C4" s="15" t="s">
        <v>450</v>
      </c>
      <c r="D4" s="15" t="s">
        <v>451</v>
      </c>
      <c r="E4" s="15" t="s">
        <v>452</v>
      </c>
      <c r="F4" s="15" t="s">
        <v>453</v>
      </c>
      <c r="G4" s="15" t="s">
        <v>454</v>
      </c>
    </row>
    <row r="5" spans="1:7" ht="40">
      <c r="A5" s="23" t="s">
        <v>455</v>
      </c>
      <c r="B5" s="16" t="s">
        <v>456</v>
      </c>
      <c r="C5" s="16" t="s">
        <v>457</v>
      </c>
      <c r="D5" s="16" t="s">
        <v>458</v>
      </c>
      <c r="E5" s="16" t="s">
        <v>459</v>
      </c>
      <c r="F5" s="16" t="s">
        <v>460</v>
      </c>
      <c r="G5" s="16" t="s">
        <v>461</v>
      </c>
    </row>
    <row r="6" spans="1:7" ht="40">
      <c r="A6" s="23" t="s">
        <v>462</v>
      </c>
      <c r="B6" s="16" t="s">
        <v>463</v>
      </c>
      <c r="C6" s="16" t="s">
        <v>464</v>
      </c>
      <c r="D6" s="16" t="s">
        <v>465</v>
      </c>
      <c r="E6" s="16" t="s">
        <v>466</v>
      </c>
      <c r="F6" s="16" t="s">
        <v>467</v>
      </c>
      <c r="G6" s="16" t="s">
        <v>468</v>
      </c>
    </row>
    <row r="7" spans="1:7" ht="40">
      <c r="A7" s="23" t="s">
        <v>13</v>
      </c>
      <c r="B7" s="16" t="s">
        <v>469</v>
      </c>
      <c r="C7" s="16" t="s">
        <v>470</v>
      </c>
      <c r="D7" s="16" t="s">
        <v>458</v>
      </c>
      <c r="E7" s="16" t="s">
        <v>471</v>
      </c>
      <c r="F7" s="16" t="s">
        <v>472</v>
      </c>
      <c r="G7" s="16" t="s">
        <v>473</v>
      </c>
    </row>
    <row r="8" spans="1:7" ht="40">
      <c r="A8" s="23" t="s">
        <v>474</v>
      </c>
      <c r="B8" s="16" t="s">
        <v>475</v>
      </c>
      <c r="C8" s="16" t="s">
        <v>476</v>
      </c>
      <c r="D8" s="16" t="s">
        <v>458</v>
      </c>
      <c r="E8" s="16" t="s">
        <v>477</v>
      </c>
      <c r="F8" s="16" t="s">
        <v>478</v>
      </c>
      <c r="G8" s="16" t="s">
        <v>479</v>
      </c>
    </row>
    <row r="9" spans="1:7" ht="40">
      <c r="A9" s="23" t="s">
        <v>382</v>
      </c>
      <c r="B9" s="16" t="s">
        <v>480</v>
      </c>
      <c r="C9" s="16" t="s">
        <v>481</v>
      </c>
      <c r="D9" s="16" t="s">
        <v>482</v>
      </c>
      <c r="E9" s="16" t="s">
        <v>483</v>
      </c>
      <c r="F9" s="16" t="s">
        <v>484</v>
      </c>
      <c r="G9" s="16" t="s">
        <v>485</v>
      </c>
    </row>
    <row r="10" spans="1:7" ht="40">
      <c r="A10" s="23" t="s">
        <v>295</v>
      </c>
      <c r="B10" s="16" t="s">
        <v>486</v>
      </c>
      <c r="C10" s="16" t="s">
        <v>487</v>
      </c>
      <c r="D10" s="16" t="s">
        <v>488</v>
      </c>
      <c r="E10" s="16" t="s">
        <v>489</v>
      </c>
      <c r="F10" s="16" t="s">
        <v>490</v>
      </c>
      <c r="G10" s="16" t="s">
        <v>491</v>
      </c>
    </row>
    <row r="11" spans="1:7" ht="40">
      <c r="A11" s="23" t="s">
        <v>492</v>
      </c>
      <c r="B11" s="16" t="s">
        <v>493</v>
      </c>
      <c r="C11" s="16" t="s">
        <v>494</v>
      </c>
      <c r="D11" s="16" t="s">
        <v>465</v>
      </c>
      <c r="E11" s="16" t="s">
        <v>495</v>
      </c>
      <c r="F11" s="16" t="s">
        <v>496</v>
      </c>
      <c r="G11" s="16" t="s">
        <v>497</v>
      </c>
    </row>
    <row r="12" spans="1:7" ht="40">
      <c r="A12" s="23" t="s">
        <v>498</v>
      </c>
      <c r="B12" s="16" t="s">
        <v>499</v>
      </c>
      <c r="C12" s="16" t="s">
        <v>500</v>
      </c>
      <c r="D12" s="16" t="s">
        <v>501</v>
      </c>
      <c r="E12" s="16" t="s">
        <v>502</v>
      </c>
      <c r="F12" s="16" t="s">
        <v>503</v>
      </c>
      <c r="G12" s="16" t="s">
        <v>504</v>
      </c>
    </row>
    <row r="13" spans="1:7" ht="40">
      <c r="A13" s="23" t="s">
        <v>505</v>
      </c>
      <c r="B13" s="16" t="s">
        <v>506</v>
      </c>
      <c r="C13" s="16" t="s">
        <v>507</v>
      </c>
      <c r="D13" s="16" t="s">
        <v>508</v>
      </c>
      <c r="E13" s="16" t="s">
        <v>509</v>
      </c>
      <c r="F13" s="16" t="s">
        <v>510</v>
      </c>
      <c r="G13" s="16" t="s">
        <v>511</v>
      </c>
    </row>
    <row r="14" spans="1:7" ht="20">
      <c r="A14" s="23" t="s">
        <v>512</v>
      </c>
      <c r="B14" s="16" t="s">
        <v>513</v>
      </c>
      <c r="C14" s="16" t="s">
        <v>514</v>
      </c>
      <c r="D14" s="16" t="s">
        <v>515</v>
      </c>
      <c r="E14" s="16" t="s">
        <v>516</v>
      </c>
      <c r="F14" s="16" t="s">
        <v>517</v>
      </c>
      <c r="G14" s="16" t="s">
        <v>518</v>
      </c>
    </row>
    <row r="15" spans="1:7" ht="19">
      <c r="A15" s="26"/>
      <c r="B15" s="14"/>
      <c r="C15" s="14"/>
      <c r="D15" s="14"/>
      <c r="E15" s="14"/>
      <c r="F15" s="14"/>
      <c r="G15" s="14"/>
    </row>
    <row r="16" spans="1:7" ht="19">
      <c r="A16" s="14"/>
      <c r="B16" s="14"/>
      <c r="C16" s="14"/>
      <c r="D16" s="14"/>
      <c r="E16" s="14"/>
      <c r="F16" s="14"/>
      <c r="G16" s="14"/>
    </row>
    <row r="17" spans="1:7" ht="22" customHeight="1">
      <c r="A17" s="27" t="s">
        <v>519</v>
      </c>
      <c r="B17" s="11"/>
      <c r="C17" s="11"/>
      <c r="D17" s="11"/>
      <c r="E17" s="11"/>
      <c r="F17" s="11"/>
      <c r="G17" s="11"/>
    </row>
    <row r="18" spans="1:7" ht="30" customHeight="1">
      <c r="A18" s="15" t="s">
        <v>520</v>
      </c>
      <c r="B18" s="15" t="s">
        <v>521</v>
      </c>
      <c r="C18" s="15" t="s">
        <v>522</v>
      </c>
      <c r="D18" s="14"/>
      <c r="E18" s="14"/>
      <c r="F18" s="14"/>
      <c r="G18" s="14"/>
    </row>
    <row r="19" spans="1:7" ht="40">
      <c r="A19" s="16" t="s">
        <v>523</v>
      </c>
      <c r="B19" s="16" t="s">
        <v>524</v>
      </c>
      <c r="C19" s="16" t="s">
        <v>525</v>
      </c>
      <c r="D19" s="14"/>
      <c r="E19" s="14"/>
      <c r="F19" s="14"/>
      <c r="G19" s="14"/>
    </row>
    <row r="20" spans="1:7" ht="40">
      <c r="A20" s="16" t="s">
        <v>526</v>
      </c>
      <c r="B20" s="16" t="s">
        <v>527</v>
      </c>
      <c r="C20" s="16" t="s">
        <v>528</v>
      </c>
      <c r="D20" s="14"/>
      <c r="E20" s="14"/>
      <c r="F20" s="14"/>
      <c r="G20" s="14"/>
    </row>
    <row r="21" spans="1:7" ht="40">
      <c r="A21" s="16" t="s">
        <v>529</v>
      </c>
      <c r="B21" s="16" t="s">
        <v>530</v>
      </c>
      <c r="C21" s="16" t="s">
        <v>531</v>
      </c>
      <c r="D21" s="14"/>
      <c r="E21" s="14"/>
      <c r="F21" s="14"/>
      <c r="G21" s="14"/>
    </row>
    <row r="22" spans="1:7" ht="40">
      <c r="A22" s="16" t="s">
        <v>412</v>
      </c>
      <c r="B22" s="16" t="s">
        <v>532</v>
      </c>
      <c r="C22" s="16" t="s">
        <v>533</v>
      </c>
      <c r="D22" s="14"/>
      <c r="E22" s="14"/>
      <c r="F22" s="14"/>
      <c r="G22" s="14"/>
    </row>
    <row r="23" spans="1:7" ht="40">
      <c r="A23" s="16" t="s">
        <v>534</v>
      </c>
      <c r="B23" s="16" t="s">
        <v>535</v>
      </c>
      <c r="C23" s="16" t="s">
        <v>536</v>
      </c>
      <c r="D23" s="14"/>
      <c r="E23" s="14"/>
      <c r="F23" s="14"/>
      <c r="G23" s="14"/>
    </row>
    <row r="24" spans="1:7" ht="20">
      <c r="A24" s="16" t="s">
        <v>537</v>
      </c>
      <c r="B24" s="16" t="s">
        <v>538</v>
      </c>
      <c r="C24" s="16" t="s">
        <v>539</v>
      </c>
      <c r="D24" s="14"/>
      <c r="E24" s="14"/>
      <c r="F24" s="14"/>
      <c r="G24" s="14"/>
    </row>
  </sheetData>
  <mergeCells count="3">
    <mergeCell ref="A1:G1"/>
    <mergeCell ref="A2:G2"/>
    <mergeCell ref="A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Đọc nhanh</vt:lpstr>
      <vt:lpstr>Từ điển chỉ số</vt:lpstr>
      <vt:lpstr>Kỹ thuật</vt:lpstr>
      <vt:lpstr>ML &amp; Backtest</vt:lpstr>
      <vt:lpstr>Rủi ro &amp; Tín hiệu</vt:lpstr>
      <vt:lpstr>Nguồn &amp; phạm 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Bao Tran</cp:lastModifiedBy>
  <dcterms:modified xsi:type="dcterms:W3CDTF">2026-08-18T17:08:24Z</dcterms:modified>
</cp:coreProperties>
</file>